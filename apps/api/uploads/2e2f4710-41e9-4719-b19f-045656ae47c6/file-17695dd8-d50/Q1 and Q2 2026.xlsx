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coopersurgical.sharepoint.com/sites/PMS/Shared Documents/"/>
    </mc:Choice>
  </mc:AlternateContent>
  <xr:revisionPtr revIDLastSave="4742" documentId="8_{77B1C202-23D1-486D-937A-4952C35A3517}" xr6:coauthVersionLast="47" xr6:coauthVersionMax="47" xr10:uidLastSave="{FA77B11C-564F-47D0-9782-09225F2544A1}"/>
  <bookViews>
    <workbookView xWindow="-28920" yWindow="-120" windowWidth="29040" windowHeight="15720" activeTab="1" xr2:uid="{1FFE413B-7650-4E4C-A554-5009054BFB72}"/>
  </bookViews>
  <sheets>
    <sheet name="Maintenance PSURs" sheetId="1" r:id="rId1"/>
    <sheet name="BSI Dashboard" sheetId="10" r:id="rId2"/>
    <sheet name="Writer Workload" sheetId="3" state="hidden" r:id="rId3"/>
    <sheet name="Timeline" sheetId="4" state="hidden" r:id="rId4"/>
    <sheet name="BSI PSURs" sheetId="8" r:id="rId5"/>
    <sheet name="Dashboard" sheetId="7" r:id="rId6"/>
  </sheets>
  <definedNames>
    <definedName name="_xlnm._FilterDatabase" localSheetId="4" hidden="1">'BSI PSURs'!$A$1:$S$45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0" l="1" a="1"/>
  <c r="B14" i="10" s="1"/>
  <c r="C14" i="10" s="1"/>
  <c r="B12" i="10" a="1"/>
  <c r="B12" i="10" s="1"/>
  <c r="C12" i="10" s="1"/>
  <c r="I5" i="10" a="1"/>
  <c r="I5" i="10" s="1"/>
  <c r="B13" i="10" s="1"/>
  <c r="G5" i="10" a="1"/>
  <c r="G5" i="10" s="1"/>
  <c r="B11" i="10" s="1"/>
  <c r="E5" i="10" a="1"/>
  <c r="E5" i="10" s="1"/>
  <c r="B10" i="10" s="1"/>
  <c r="C5" i="10" a="1"/>
  <c r="C5" i="10" s="1"/>
  <c r="B9" i="10" s="1"/>
  <c r="A5" i="10" a="1"/>
  <c r="A5" i="10" s="1"/>
  <c r="C19" i="10" s="1"/>
  <c r="B18" i="10"/>
  <c r="B19" i="10"/>
  <c r="B20" i="10"/>
  <c r="B21" i="10"/>
  <c r="C9" i="10" l="1"/>
  <c r="B46" i="10"/>
  <c r="B47" i="10"/>
  <c r="C10" i="10"/>
  <c r="C11" i="10"/>
  <c r="B48" i="10"/>
  <c r="B49" i="10"/>
  <c r="C13" i="10"/>
  <c r="M5" i="10"/>
  <c r="B50" i="10"/>
  <c r="C18" i="10"/>
  <c r="C21" i="10"/>
  <c r="C20" i="10"/>
  <c r="L12" i="10"/>
  <c r="K12" i="10"/>
  <c r="J12" i="10"/>
  <c r="L11" i="10"/>
  <c r="L10" i="10"/>
  <c r="L9" i="10"/>
  <c r="G13" i="10"/>
  <c r="F13" i="10"/>
  <c r="J20" i="7" a="1"/>
  <c r="J20" i="7" s="1"/>
  <c r="J19" i="7" a="1"/>
  <c r="J19" i="7" s="1"/>
  <c r="J18" i="7" a="1"/>
  <c r="J18" i="7" s="1"/>
  <c r="B21" i="7"/>
  <c r="B20" i="7"/>
  <c r="B19" i="7"/>
  <c r="B18" i="7"/>
  <c r="G12" i="7"/>
  <c r="F49" i="7" s="1"/>
  <c r="F12" i="7"/>
  <c r="E49" i="7" s="1"/>
  <c r="G11" i="7"/>
  <c r="F48" i="7" s="1"/>
  <c r="F11" i="7"/>
  <c r="E48" i="7" s="1"/>
  <c r="G10" i="7"/>
  <c r="F47" i="7" s="1"/>
  <c r="F10" i="7"/>
  <c r="E47" i="7" s="1"/>
  <c r="G9" i="7"/>
  <c r="F46" i="7" s="1"/>
  <c r="F9" i="7"/>
  <c r="E46" i="7" s="1"/>
  <c r="B14" i="7"/>
  <c r="B50" i="7" s="1"/>
  <c r="B13" i="7"/>
  <c r="B49" i="7" s="1"/>
  <c r="B12" i="7"/>
  <c r="B11" i="7"/>
  <c r="B48" i="7" s="1"/>
  <c r="B10" i="7"/>
  <c r="B47" i="7" s="1"/>
  <c r="B9" i="7"/>
  <c r="B46" i="7" s="1"/>
  <c r="I5" i="7"/>
  <c r="G5" i="7"/>
  <c r="E5" i="7"/>
  <c r="C5" i="7"/>
  <c r="K12" i="7" s="1"/>
  <c r="A5" i="7"/>
  <c r="O2" i="8"/>
  <c r="P2" i="8" s="1"/>
  <c r="Q2" i="8"/>
  <c r="R2" i="8"/>
  <c r="O3" i="8"/>
  <c r="P3" i="8" s="1"/>
  <c r="Q3" i="8"/>
  <c r="R3" i="8"/>
  <c r="O4" i="8"/>
  <c r="S4" i="8" s="1"/>
  <c r="Q4" i="8"/>
  <c r="R4" i="8"/>
  <c r="O5" i="8"/>
  <c r="S5" i="8" s="1"/>
  <c r="P5" i="8"/>
  <c r="Q5" i="8"/>
  <c r="R5" i="8"/>
  <c r="O6" i="8"/>
  <c r="P6" i="8" s="1"/>
  <c r="Q6" i="8"/>
  <c r="R6" i="8"/>
  <c r="O7" i="8"/>
  <c r="S7" i="8" s="1"/>
  <c r="Q7" i="8"/>
  <c r="R7" i="8"/>
  <c r="O8" i="8"/>
  <c r="P8" i="8" s="1"/>
  <c r="Q8" i="8"/>
  <c r="R8" i="8"/>
  <c r="O9" i="8"/>
  <c r="P9" i="8" s="1"/>
  <c r="Q9" i="8"/>
  <c r="R9" i="8"/>
  <c r="O10" i="8"/>
  <c r="S10" i="8" s="1"/>
  <c r="P10" i="8"/>
  <c r="Q10" i="8"/>
  <c r="R10" i="8"/>
  <c r="O11" i="8"/>
  <c r="S11" i="8" s="1"/>
  <c r="Q11" i="8"/>
  <c r="R11" i="8"/>
  <c r="O12" i="8"/>
  <c r="S12" i="8" s="1"/>
  <c r="Q12" i="8"/>
  <c r="R12" i="8"/>
  <c r="O13" i="8"/>
  <c r="S13" i="8" s="1"/>
  <c r="P13" i="8"/>
  <c r="Q13" i="8"/>
  <c r="R13" i="8"/>
  <c r="O14" i="8"/>
  <c r="S14" i="8" s="1"/>
  <c r="Q14" i="8"/>
  <c r="R14" i="8"/>
  <c r="O15" i="8"/>
  <c r="S15" i="8" s="1"/>
  <c r="Q15" i="8"/>
  <c r="R15" i="8"/>
  <c r="O16" i="8"/>
  <c r="P16" i="8" s="1"/>
  <c r="Q16" i="8"/>
  <c r="R16" i="8"/>
  <c r="O17" i="8"/>
  <c r="S17" i="8" s="1"/>
  <c r="Q17" i="8"/>
  <c r="R17" i="8"/>
  <c r="O18" i="8"/>
  <c r="S18" i="8" s="1"/>
  <c r="Q18" i="8"/>
  <c r="R18" i="8"/>
  <c r="O19" i="8"/>
  <c r="Q19" i="8"/>
  <c r="R19" i="8"/>
  <c r="O20" i="8"/>
  <c r="S20" i="8" s="1"/>
  <c r="P20" i="8"/>
  <c r="Q20" i="8"/>
  <c r="R20" i="8"/>
  <c r="O21" i="8"/>
  <c r="S21" i="8" s="1"/>
  <c r="Q21" i="8"/>
  <c r="R21" i="8"/>
  <c r="O22" i="8"/>
  <c r="S22" i="8" s="1"/>
  <c r="Q22" i="8"/>
  <c r="R22" i="8"/>
  <c r="O23" i="8"/>
  <c r="S23" i="8" s="1"/>
  <c r="P23" i="8"/>
  <c r="Q23" i="8"/>
  <c r="R23" i="8"/>
  <c r="O24" i="8"/>
  <c r="S24" i="8" s="1"/>
  <c r="Q24" i="8"/>
  <c r="R24" i="8"/>
  <c r="O25" i="8"/>
  <c r="Q25" i="8"/>
  <c r="R25" i="8"/>
  <c r="O26" i="8"/>
  <c r="S26" i="8" s="1"/>
  <c r="P26" i="8"/>
  <c r="Q26" i="8"/>
  <c r="R26" i="8"/>
  <c r="O27" i="8"/>
  <c r="P27" i="8" s="1"/>
  <c r="Q27" i="8"/>
  <c r="R27" i="8"/>
  <c r="O28" i="8"/>
  <c r="Q28" i="8"/>
  <c r="R28" i="8"/>
  <c r="O29" i="8"/>
  <c r="P29" i="8" s="1"/>
  <c r="Q29" i="8"/>
  <c r="R29" i="8"/>
  <c r="O30" i="8"/>
  <c r="Q30" i="8"/>
  <c r="R30" i="8"/>
  <c r="O31" i="8"/>
  <c r="S31" i="8" s="1"/>
  <c r="P31" i="8"/>
  <c r="Q31" i="8"/>
  <c r="R31" i="8"/>
  <c r="O32" i="8"/>
  <c r="S32" i="8" s="1"/>
  <c r="P32" i="8"/>
  <c r="Q32" i="8"/>
  <c r="R32" i="8"/>
  <c r="O33" i="8"/>
  <c r="S33" i="8" s="1"/>
  <c r="Q33" i="8"/>
  <c r="R33" i="8"/>
  <c r="O34" i="8"/>
  <c r="P34" i="8" s="1"/>
  <c r="Q34" i="8"/>
  <c r="R34" i="8"/>
  <c r="O35" i="8"/>
  <c r="S35" i="8" s="1"/>
  <c r="Q35" i="8"/>
  <c r="R35" i="8"/>
  <c r="O36" i="8"/>
  <c r="P36" i="8" s="1"/>
  <c r="Q36" i="8"/>
  <c r="R36" i="8"/>
  <c r="O37" i="8"/>
  <c r="S37" i="8" s="1"/>
  <c r="Q37" i="8"/>
  <c r="R37" i="8"/>
  <c r="O38" i="8"/>
  <c r="S38" i="8" s="1"/>
  <c r="Q38" i="8"/>
  <c r="R38" i="8"/>
  <c r="O39" i="8"/>
  <c r="S39" i="8" s="1"/>
  <c r="Q39" i="8"/>
  <c r="R39" i="8"/>
  <c r="O40" i="8"/>
  <c r="S40" i="8" s="1"/>
  <c r="Q40" i="8"/>
  <c r="R40" i="8"/>
  <c r="O41" i="8"/>
  <c r="Q41" i="8"/>
  <c r="R41" i="8"/>
  <c r="O42" i="8"/>
  <c r="Q42" i="8"/>
  <c r="R42" i="8"/>
  <c r="O43" i="8"/>
  <c r="Q43" i="8"/>
  <c r="R43" i="8"/>
  <c r="O44" i="8"/>
  <c r="S44" i="8" s="1"/>
  <c r="Q44" i="8"/>
  <c r="R44" i="8"/>
  <c r="O45" i="8"/>
  <c r="S45" i="8" s="1"/>
  <c r="Q45" i="8"/>
  <c r="R45" i="8"/>
  <c r="C18" i="7" l="1"/>
  <c r="M5" i="7"/>
  <c r="L12" i="7" s="1"/>
  <c r="C19" i="7"/>
  <c r="C20" i="7"/>
  <c r="C21" i="7"/>
  <c r="J12" i="7"/>
  <c r="C12" i="7"/>
  <c r="C10" i="7"/>
  <c r="C11" i="7"/>
  <c r="C13" i="7"/>
  <c r="C14" i="7"/>
  <c r="C9" i="7"/>
  <c r="J22" i="10"/>
  <c r="J20" i="10"/>
  <c r="J19" i="10"/>
  <c r="J18" i="10"/>
  <c r="F13" i="7"/>
  <c r="G13" i="7"/>
  <c r="S6" i="8"/>
  <c r="S43" i="8"/>
  <c r="S36" i="8"/>
  <c r="S42" i="8"/>
  <c r="S19" i="8"/>
  <c r="P45" i="8"/>
  <c r="P4" i="8"/>
  <c r="S25" i="8"/>
  <c r="S29" i="8"/>
  <c r="P40" i="8"/>
  <c r="S16" i="8"/>
  <c r="S9" i="8"/>
  <c r="P44" i="8"/>
  <c r="S3" i="8"/>
  <c r="S27" i="8"/>
  <c r="S28" i="8"/>
  <c r="P7" i="8"/>
  <c r="S34" i="8"/>
  <c r="S8" i="8"/>
  <c r="S2" i="8"/>
  <c r="P24" i="8"/>
  <c r="S30" i="8"/>
  <c r="S41" i="8"/>
  <c r="J7" i="3"/>
  <c r="J6" i="3"/>
  <c r="J5" i="3"/>
  <c r="J4" i="3"/>
  <c r="F7" i="3"/>
  <c r="F6" i="3"/>
  <c r="F5" i="3"/>
  <c r="F4" i="3"/>
  <c r="E7" i="3"/>
  <c r="E6" i="3"/>
  <c r="E5" i="3"/>
  <c r="E4" i="3"/>
  <c r="D7" i="3"/>
  <c r="D6" i="3"/>
  <c r="D5" i="3"/>
  <c r="D4" i="3"/>
  <c r="C7" i="3"/>
  <c r="C6" i="3"/>
  <c r="C5" i="3"/>
  <c r="C4" i="3"/>
  <c r="B7" i="3"/>
  <c r="B6" i="3"/>
  <c r="B5" i="3"/>
  <c r="B4" i="3"/>
  <c r="Q3" i="1"/>
  <c r="Q52" i="1"/>
  <c r="Q5" i="1"/>
  <c r="Q34" i="1"/>
  <c r="Q6" i="1"/>
  <c r="Q7" i="1"/>
  <c r="Q8" i="1"/>
  <c r="Q9" i="1"/>
  <c r="Q10" i="1"/>
  <c r="Q11" i="1"/>
  <c r="Q12" i="1"/>
  <c r="Q4" i="1"/>
  <c r="Q42" i="1"/>
  <c r="Q13" i="1"/>
  <c r="Q14" i="1"/>
  <c r="Q15" i="1"/>
  <c r="Q16" i="1"/>
  <c r="Q56" i="1"/>
  <c r="Q20" i="1"/>
  <c r="Q21" i="1"/>
  <c r="Q17" i="1"/>
  <c r="Q18" i="1"/>
  <c r="Q23" i="1"/>
  <c r="Q64" i="1"/>
  <c r="Q25" i="1"/>
  <c r="Q35" i="1"/>
  <c r="Q26" i="1"/>
  <c r="Q55" i="1"/>
  <c r="Q31" i="1"/>
  <c r="Q29" i="1"/>
  <c r="Q19" i="1"/>
  <c r="Q22" i="1"/>
  <c r="Q32" i="1"/>
  <c r="Q24" i="1"/>
  <c r="Q27" i="1"/>
  <c r="Q30" i="1"/>
  <c r="Q33" i="1"/>
  <c r="Q28" i="1"/>
  <c r="Q36" i="1"/>
  <c r="Q38" i="1"/>
  <c r="Q39" i="1"/>
  <c r="Q40" i="1"/>
  <c r="Q41" i="1"/>
  <c r="Q54" i="1"/>
  <c r="Q37" i="1"/>
  <c r="Q43" i="1"/>
  <c r="Q44" i="1"/>
  <c r="Q45" i="1"/>
  <c r="Q46" i="1"/>
  <c r="Q47" i="1"/>
  <c r="Q48" i="1"/>
  <c r="Q49" i="1"/>
  <c r="Q50" i="1"/>
  <c r="Q51" i="1"/>
  <c r="Q2" i="1"/>
  <c r="O3" i="1"/>
  <c r="O52" i="1"/>
  <c r="O5" i="1"/>
  <c r="O34" i="1"/>
  <c r="O6" i="1"/>
  <c r="O7" i="1"/>
  <c r="S7" i="1" s="1"/>
  <c r="O8" i="1"/>
  <c r="O9" i="1"/>
  <c r="O10" i="1"/>
  <c r="O11" i="1"/>
  <c r="O12" i="1"/>
  <c r="S12" i="1" s="1"/>
  <c r="O4" i="1"/>
  <c r="O42" i="1"/>
  <c r="O13" i="1"/>
  <c r="O14" i="1"/>
  <c r="O15" i="1"/>
  <c r="O16" i="1"/>
  <c r="O56" i="1"/>
  <c r="O20" i="1"/>
  <c r="O21" i="1"/>
  <c r="O17" i="1"/>
  <c r="O18" i="1"/>
  <c r="O23" i="1"/>
  <c r="O64" i="1"/>
  <c r="O25" i="1"/>
  <c r="O35" i="1"/>
  <c r="O26" i="1"/>
  <c r="O55" i="1"/>
  <c r="S55" i="1" s="1"/>
  <c r="O31" i="1"/>
  <c r="O29" i="1"/>
  <c r="O19" i="1"/>
  <c r="S19" i="1" s="1"/>
  <c r="O22" i="1"/>
  <c r="O32" i="1"/>
  <c r="O24" i="1"/>
  <c r="S24" i="1" s="1"/>
  <c r="O27" i="1"/>
  <c r="O30" i="1"/>
  <c r="O33" i="1"/>
  <c r="O28" i="1"/>
  <c r="S28" i="1" s="1"/>
  <c r="O36" i="1"/>
  <c r="S36" i="1" s="1"/>
  <c r="O38" i="1"/>
  <c r="O39" i="1"/>
  <c r="O40" i="1"/>
  <c r="O41" i="1"/>
  <c r="O54" i="1"/>
  <c r="O37" i="1"/>
  <c r="O43" i="1"/>
  <c r="O44" i="1"/>
  <c r="O45" i="1"/>
  <c r="O46" i="1"/>
  <c r="S46" i="1" s="1"/>
  <c r="O47" i="1"/>
  <c r="O48" i="1"/>
  <c r="O49" i="1"/>
  <c r="O50" i="1"/>
  <c r="O51" i="1"/>
  <c r="O2" i="1"/>
  <c r="O53" i="1"/>
  <c r="O60" i="1"/>
  <c r="O63" i="1"/>
  <c r="O57" i="1"/>
  <c r="S57" i="1" s="1"/>
  <c r="O58" i="1"/>
  <c r="S58" i="1" s="1"/>
  <c r="O59" i="1"/>
  <c r="S59" i="1" s="1"/>
  <c r="O61" i="1"/>
  <c r="O62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H81" i="4"/>
  <c r="D79" i="4"/>
  <c r="Q79" i="4" s="1"/>
  <c r="C79" i="4"/>
  <c r="B79" i="4"/>
  <c r="A79" i="4"/>
  <c r="D78" i="4"/>
  <c r="H78" i="4" s="1"/>
  <c r="C78" i="4"/>
  <c r="B78" i="4"/>
  <c r="A78" i="4"/>
  <c r="D77" i="4"/>
  <c r="Q77" i="4" s="1"/>
  <c r="C77" i="4"/>
  <c r="B77" i="4"/>
  <c r="A77" i="4"/>
  <c r="D76" i="4"/>
  <c r="P76" i="4" s="1"/>
  <c r="C76" i="4"/>
  <c r="B76" i="4"/>
  <c r="A76" i="4"/>
  <c r="D75" i="4"/>
  <c r="F75" i="4" s="1"/>
  <c r="C75" i="4"/>
  <c r="B75" i="4"/>
  <c r="A75" i="4"/>
  <c r="D74" i="4"/>
  <c r="Q74" i="4" s="1"/>
  <c r="C74" i="4"/>
  <c r="B74" i="4"/>
  <c r="A74" i="4"/>
  <c r="D73" i="4"/>
  <c r="N73" i="4" s="1"/>
  <c r="C73" i="4"/>
  <c r="B73" i="4"/>
  <c r="A73" i="4"/>
  <c r="D72" i="4"/>
  <c r="Q72" i="4" s="1"/>
  <c r="C72" i="4"/>
  <c r="B72" i="4"/>
  <c r="A72" i="4"/>
  <c r="D71" i="4"/>
  <c r="Q71" i="4" s="1"/>
  <c r="C71" i="4"/>
  <c r="B71" i="4"/>
  <c r="A71" i="4"/>
  <c r="D70" i="4"/>
  <c r="L70" i="4" s="1"/>
  <c r="C70" i="4"/>
  <c r="B70" i="4"/>
  <c r="A70" i="4"/>
  <c r="D69" i="4"/>
  <c r="Q69" i="4" s="1"/>
  <c r="C69" i="4"/>
  <c r="B69" i="4"/>
  <c r="A69" i="4"/>
  <c r="D68" i="4"/>
  <c r="Q68" i="4" s="1"/>
  <c r="C68" i="4"/>
  <c r="B68" i="4"/>
  <c r="A68" i="4"/>
  <c r="D67" i="4"/>
  <c r="J67" i="4" s="1"/>
  <c r="C67" i="4"/>
  <c r="B67" i="4"/>
  <c r="A67" i="4"/>
  <c r="D66" i="4"/>
  <c r="Q66" i="4" s="1"/>
  <c r="C66" i="4"/>
  <c r="B66" i="4"/>
  <c r="A66" i="4"/>
  <c r="D65" i="4"/>
  <c r="Q65" i="4" s="1"/>
  <c r="C65" i="4"/>
  <c r="B65" i="4"/>
  <c r="A65" i="4"/>
  <c r="D64" i="4"/>
  <c r="H64" i="4" s="1"/>
  <c r="C64" i="4"/>
  <c r="B64" i="4"/>
  <c r="A64" i="4"/>
  <c r="D63" i="4"/>
  <c r="Q63" i="4" s="1"/>
  <c r="C63" i="4"/>
  <c r="B63" i="4"/>
  <c r="A63" i="4"/>
  <c r="D62" i="4"/>
  <c r="P62" i="4" s="1"/>
  <c r="C62" i="4"/>
  <c r="B62" i="4"/>
  <c r="A62" i="4"/>
  <c r="D61" i="4"/>
  <c r="F61" i="4" s="1"/>
  <c r="C61" i="4"/>
  <c r="B61" i="4"/>
  <c r="A61" i="4"/>
  <c r="D60" i="4"/>
  <c r="Q60" i="4" s="1"/>
  <c r="C60" i="4"/>
  <c r="B60" i="4"/>
  <c r="A60" i="4"/>
  <c r="D59" i="4"/>
  <c r="N59" i="4" s="1"/>
  <c r="C59" i="4"/>
  <c r="B59" i="4"/>
  <c r="A59" i="4"/>
  <c r="D58" i="4"/>
  <c r="F58" i="4" s="1"/>
  <c r="C58" i="4"/>
  <c r="B58" i="4"/>
  <c r="A58" i="4"/>
  <c r="D57" i="4"/>
  <c r="Q57" i="4" s="1"/>
  <c r="C57" i="4"/>
  <c r="B57" i="4"/>
  <c r="A57" i="4"/>
  <c r="D56" i="4"/>
  <c r="L56" i="4" s="1"/>
  <c r="C56" i="4"/>
  <c r="B56" i="4"/>
  <c r="A56" i="4"/>
  <c r="D55" i="4"/>
  <c r="Q55" i="4" s="1"/>
  <c r="C55" i="4"/>
  <c r="B55" i="4"/>
  <c r="A55" i="4"/>
  <c r="D54" i="4"/>
  <c r="Q54" i="4" s="1"/>
  <c r="C54" i="4"/>
  <c r="B54" i="4"/>
  <c r="A54" i="4"/>
  <c r="D53" i="4"/>
  <c r="J53" i="4" s="1"/>
  <c r="C53" i="4"/>
  <c r="B53" i="4"/>
  <c r="A53" i="4"/>
  <c r="D52" i="4"/>
  <c r="Q52" i="4" s="1"/>
  <c r="C52" i="4"/>
  <c r="B52" i="4"/>
  <c r="A52" i="4"/>
  <c r="D51" i="4"/>
  <c r="Q51" i="4" s="1"/>
  <c r="C51" i="4"/>
  <c r="B51" i="4"/>
  <c r="A51" i="4"/>
  <c r="D50" i="4"/>
  <c r="H50" i="4" s="1"/>
  <c r="C50" i="4"/>
  <c r="B50" i="4"/>
  <c r="A50" i="4"/>
  <c r="D49" i="4"/>
  <c r="Q49" i="4" s="1"/>
  <c r="C49" i="4"/>
  <c r="B49" i="4"/>
  <c r="A49" i="4"/>
  <c r="D48" i="4"/>
  <c r="P48" i="4" s="1"/>
  <c r="C48" i="4"/>
  <c r="B48" i="4"/>
  <c r="A48" i="4"/>
  <c r="D47" i="4"/>
  <c r="F47" i="4" s="1"/>
  <c r="C47" i="4"/>
  <c r="B47" i="4"/>
  <c r="A47" i="4"/>
  <c r="D46" i="4"/>
  <c r="Q46" i="4" s="1"/>
  <c r="C46" i="4"/>
  <c r="B46" i="4"/>
  <c r="A46" i="4"/>
  <c r="D45" i="4"/>
  <c r="N45" i="4" s="1"/>
  <c r="C45" i="4"/>
  <c r="B45" i="4"/>
  <c r="A45" i="4"/>
  <c r="D44" i="4"/>
  <c r="O44" i="4" s="1"/>
  <c r="C44" i="4"/>
  <c r="B44" i="4"/>
  <c r="A44" i="4"/>
  <c r="D43" i="4"/>
  <c r="Q43" i="4" s="1"/>
  <c r="C43" i="4"/>
  <c r="B43" i="4"/>
  <c r="A43" i="4"/>
  <c r="D42" i="4"/>
  <c r="L42" i="4" s="1"/>
  <c r="C42" i="4"/>
  <c r="B42" i="4"/>
  <c r="A42" i="4"/>
  <c r="D41" i="4"/>
  <c r="Q41" i="4" s="1"/>
  <c r="C41" i="4"/>
  <c r="B41" i="4"/>
  <c r="A41" i="4"/>
  <c r="D40" i="4"/>
  <c r="Q40" i="4" s="1"/>
  <c r="C40" i="4"/>
  <c r="B40" i="4"/>
  <c r="A40" i="4"/>
  <c r="D39" i="4"/>
  <c r="J39" i="4" s="1"/>
  <c r="C39" i="4"/>
  <c r="B39" i="4"/>
  <c r="A39" i="4"/>
  <c r="D38" i="4"/>
  <c r="Q38" i="4" s="1"/>
  <c r="C38" i="4"/>
  <c r="B38" i="4"/>
  <c r="A38" i="4"/>
  <c r="D37" i="4"/>
  <c r="Q37" i="4" s="1"/>
  <c r="C37" i="4"/>
  <c r="B37" i="4"/>
  <c r="A37" i="4"/>
  <c r="D36" i="4"/>
  <c r="H36" i="4" s="1"/>
  <c r="C36" i="4"/>
  <c r="B36" i="4"/>
  <c r="A36" i="4"/>
  <c r="D35" i="4"/>
  <c r="Q35" i="4" s="1"/>
  <c r="C35" i="4"/>
  <c r="B35" i="4"/>
  <c r="A35" i="4"/>
  <c r="D34" i="4"/>
  <c r="P34" i="4" s="1"/>
  <c r="C34" i="4"/>
  <c r="B34" i="4"/>
  <c r="A34" i="4"/>
  <c r="D33" i="4"/>
  <c r="F33" i="4" s="1"/>
  <c r="C33" i="4"/>
  <c r="B33" i="4"/>
  <c r="A33" i="4"/>
  <c r="D32" i="4"/>
  <c r="Q32" i="4" s="1"/>
  <c r="C32" i="4"/>
  <c r="B32" i="4"/>
  <c r="A32" i="4"/>
  <c r="D31" i="4"/>
  <c r="N31" i="4" s="1"/>
  <c r="C31" i="4"/>
  <c r="B31" i="4"/>
  <c r="A31" i="4"/>
  <c r="D30" i="4"/>
  <c r="Q30" i="4" s="1"/>
  <c r="C30" i="4"/>
  <c r="B30" i="4"/>
  <c r="A30" i="4"/>
  <c r="D29" i="4"/>
  <c r="Q29" i="4" s="1"/>
  <c r="C29" i="4"/>
  <c r="B29" i="4"/>
  <c r="A29" i="4"/>
  <c r="D28" i="4"/>
  <c r="L28" i="4" s="1"/>
  <c r="C28" i="4"/>
  <c r="B28" i="4"/>
  <c r="A28" i="4"/>
  <c r="D27" i="4"/>
  <c r="Q27" i="4" s="1"/>
  <c r="C27" i="4"/>
  <c r="B27" i="4"/>
  <c r="A27" i="4"/>
  <c r="D26" i="4"/>
  <c r="Q26" i="4" s="1"/>
  <c r="C26" i="4"/>
  <c r="B26" i="4"/>
  <c r="A26" i="4"/>
  <c r="D25" i="4"/>
  <c r="J25" i="4" s="1"/>
  <c r="C25" i="4"/>
  <c r="B25" i="4"/>
  <c r="A25" i="4"/>
  <c r="D24" i="4"/>
  <c r="Q24" i="4" s="1"/>
  <c r="C24" i="4"/>
  <c r="B24" i="4"/>
  <c r="A24" i="4"/>
  <c r="D23" i="4"/>
  <c r="Q23" i="4" s="1"/>
  <c r="C23" i="4"/>
  <c r="B23" i="4"/>
  <c r="A23" i="4"/>
  <c r="D22" i="4"/>
  <c r="H22" i="4" s="1"/>
  <c r="C22" i="4"/>
  <c r="B22" i="4"/>
  <c r="A22" i="4"/>
  <c r="D21" i="4"/>
  <c r="Q21" i="4" s="1"/>
  <c r="C21" i="4"/>
  <c r="B21" i="4"/>
  <c r="A21" i="4"/>
  <c r="D20" i="4"/>
  <c r="P20" i="4" s="1"/>
  <c r="C20" i="4"/>
  <c r="B20" i="4"/>
  <c r="A20" i="4"/>
  <c r="D19" i="4"/>
  <c r="F19" i="4" s="1"/>
  <c r="C19" i="4"/>
  <c r="B19" i="4"/>
  <c r="A19" i="4"/>
  <c r="D18" i="4"/>
  <c r="Q18" i="4" s="1"/>
  <c r="C18" i="4"/>
  <c r="B18" i="4"/>
  <c r="A18" i="4"/>
  <c r="D17" i="4"/>
  <c r="N17" i="4" s="1"/>
  <c r="C17" i="4"/>
  <c r="B17" i="4"/>
  <c r="A17" i="4"/>
  <c r="D16" i="4"/>
  <c r="P16" i="4" s="1"/>
  <c r="C16" i="4"/>
  <c r="B16" i="4"/>
  <c r="A16" i="4"/>
  <c r="D15" i="4"/>
  <c r="Q15" i="4" s="1"/>
  <c r="C15" i="4"/>
  <c r="B15" i="4"/>
  <c r="A15" i="4"/>
  <c r="D14" i="4"/>
  <c r="L14" i="4" s="1"/>
  <c r="C14" i="4"/>
  <c r="B14" i="4"/>
  <c r="A14" i="4"/>
  <c r="D13" i="4"/>
  <c r="Q13" i="4" s="1"/>
  <c r="C13" i="4"/>
  <c r="B13" i="4"/>
  <c r="A13" i="4"/>
  <c r="D12" i="4"/>
  <c r="Q12" i="4" s="1"/>
  <c r="C12" i="4"/>
  <c r="B12" i="4"/>
  <c r="A12" i="4"/>
  <c r="D11" i="4"/>
  <c r="J11" i="4" s="1"/>
  <c r="C11" i="4"/>
  <c r="B11" i="4"/>
  <c r="A11" i="4"/>
  <c r="D10" i="4"/>
  <c r="Q10" i="4" s="1"/>
  <c r="C10" i="4"/>
  <c r="B10" i="4"/>
  <c r="A10" i="4"/>
  <c r="D9" i="4"/>
  <c r="Q9" i="4" s="1"/>
  <c r="C9" i="4"/>
  <c r="B9" i="4"/>
  <c r="A9" i="4"/>
  <c r="D8" i="4"/>
  <c r="H8" i="4" s="1"/>
  <c r="C8" i="4"/>
  <c r="B8" i="4"/>
  <c r="A8" i="4"/>
  <c r="D7" i="4"/>
  <c r="Q7" i="4" s="1"/>
  <c r="C7" i="4"/>
  <c r="B7" i="4"/>
  <c r="A7" i="4"/>
  <c r="D6" i="4"/>
  <c r="P6" i="4" s="1"/>
  <c r="C6" i="4"/>
  <c r="B6" i="4"/>
  <c r="A6" i="4"/>
  <c r="D5" i="4"/>
  <c r="F5" i="4" s="1"/>
  <c r="C5" i="4"/>
  <c r="B5" i="4"/>
  <c r="A5" i="4"/>
  <c r="D4" i="4"/>
  <c r="Q4" i="4" s="1"/>
  <c r="C4" i="4"/>
  <c r="B4" i="4"/>
  <c r="A4" i="4"/>
  <c r="D3" i="4"/>
  <c r="N3" i="4" s="1"/>
  <c r="C3" i="4"/>
  <c r="B3" i="4"/>
  <c r="A3" i="4"/>
  <c r="R8" i="1"/>
  <c r="R34" i="1"/>
  <c r="R3" i="1"/>
  <c r="R12" i="1"/>
  <c r="R6" i="1"/>
  <c r="R2" i="1"/>
  <c r="R52" i="1"/>
  <c r="R53" i="1"/>
  <c r="Q53" i="1"/>
  <c r="R4" i="1"/>
  <c r="R7" i="1"/>
  <c r="R5" i="1"/>
  <c r="R59" i="1"/>
  <c r="Q59" i="1"/>
  <c r="R58" i="1"/>
  <c r="Q58" i="1"/>
  <c r="R57" i="1"/>
  <c r="Q57" i="1"/>
  <c r="R36" i="1"/>
  <c r="R46" i="1"/>
  <c r="R45" i="1"/>
  <c r="R54" i="1"/>
  <c r="R41" i="1"/>
  <c r="R37" i="1"/>
  <c r="R40" i="1"/>
  <c r="R63" i="1"/>
  <c r="Q63" i="1"/>
  <c r="R38" i="1"/>
  <c r="R33" i="1"/>
  <c r="R22" i="1"/>
  <c r="R29" i="1"/>
  <c r="R31" i="1"/>
  <c r="R55" i="1"/>
  <c r="R35" i="1"/>
  <c r="R25" i="1"/>
  <c r="R23" i="1"/>
  <c r="R18" i="1"/>
  <c r="R16" i="1"/>
  <c r="R24" i="1"/>
  <c r="R19" i="1"/>
  <c r="R30" i="1"/>
  <c r="R15" i="1"/>
  <c r="R17" i="1"/>
  <c r="R42" i="1"/>
  <c r="R28" i="1"/>
  <c r="R27" i="1"/>
  <c r="R64" i="1"/>
  <c r="R14" i="1"/>
  <c r="R13" i="1"/>
  <c r="R21" i="1"/>
  <c r="R20" i="1"/>
  <c r="R60" i="1"/>
  <c r="R61" i="1"/>
  <c r="R62" i="1"/>
  <c r="R56" i="1"/>
  <c r="R26" i="1"/>
  <c r="R32" i="1"/>
  <c r="R39" i="1"/>
  <c r="R9" i="1"/>
  <c r="R10" i="1"/>
  <c r="R11" i="1"/>
  <c r="R43" i="1"/>
  <c r="R44" i="1"/>
  <c r="R47" i="1"/>
  <c r="R48" i="1"/>
  <c r="R49" i="1"/>
  <c r="R50" i="1"/>
  <c r="R51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Q60" i="1"/>
  <c r="Q61" i="1"/>
  <c r="Q62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I46" i="10" l="1" a="1"/>
  <c r="I46" i="10" s="1"/>
  <c r="F18" i="10" s="1"/>
  <c r="G18" i="10" s="1"/>
  <c r="I51" i="10" a="1"/>
  <c r="I51" i="10" s="1"/>
  <c r="F23" i="10" s="1"/>
  <c r="G23" i="10" s="1"/>
  <c r="I50" i="10" a="1"/>
  <c r="I50" i="10" s="1"/>
  <c r="F22" i="10" s="1"/>
  <c r="G22" i="10" s="1"/>
  <c r="I49" i="10" a="1"/>
  <c r="I49" i="10" s="1"/>
  <c r="F21" i="10" s="1"/>
  <c r="G21" i="10" s="1"/>
  <c r="I48" i="10" a="1"/>
  <c r="I48" i="10" s="1"/>
  <c r="F20" i="10" s="1"/>
  <c r="G20" i="10" s="1"/>
  <c r="I47" i="10" a="1"/>
  <c r="I47" i="10" s="1"/>
  <c r="F19" i="10" s="1"/>
  <c r="G19" i="10" s="1"/>
  <c r="K5" i="10" a="1"/>
  <c r="K5" i="10" s="1"/>
  <c r="K10" i="7"/>
  <c r="L10" i="7" s="1"/>
  <c r="J9" i="7"/>
  <c r="J10" i="7"/>
  <c r="K9" i="7"/>
  <c r="J21" i="10"/>
  <c r="F22" i="7"/>
  <c r="F21" i="7"/>
  <c r="F20" i="7"/>
  <c r="F19" i="7"/>
  <c r="F18" i="7"/>
  <c r="F23" i="7"/>
  <c r="J22" i="7"/>
  <c r="S31" i="1"/>
  <c r="S29" i="1"/>
  <c r="S4" i="1"/>
  <c r="S64" i="1"/>
  <c r="S34" i="1"/>
  <c r="S3" i="1"/>
  <c r="S45" i="1"/>
  <c r="S37" i="1"/>
  <c r="I6" i="3"/>
  <c r="S14" i="1"/>
  <c r="S41" i="1"/>
  <c r="S17" i="1"/>
  <c r="S16" i="1"/>
  <c r="I4" i="3"/>
  <c r="S22" i="1"/>
  <c r="S8" i="1"/>
  <c r="S15" i="1"/>
  <c r="I5" i="3"/>
  <c r="I7" i="3"/>
  <c r="O45" i="4"/>
  <c r="K61" i="4"/>
  <c r="N78" i="4"/>
  <c r="I50" i="4"/>
  <c r="M70" i="4"/>
  <c r="J50" i="4"/>
  <c r="M39" i="4"/>
  <c r="Q45" i="4"/>
  <c r="P45" i="4"/>
  <c r="L39" i="4"/>
  <c r="P59" i="4"/>
  <c r="N58" i="4"/>
  <c r="O58" i="4"/>
  <c r="N70" i="4"/>
  <c r="L8" i="4"/>
  <c r="Q64" i="4"/>
  <c r="O75" i="4"/>
  <c r="L58" i="4"/>
  <c r="N14" i="4"/>
  <c r="E8" i="4"/>
  <c r="Q14" i="4"/>
  <c r="Q58" i="4"/>
  <c r="L75" i="4"/>
  <c r="M8" i="4"/>
  <c r="M47" i="4"/>
  <c r="O47" i="4"/>
  <c r="P58" i="4"/>
  <c r="F76" i="4"/>
  <c r="F72" i="4"/>
  <c r="G72" i="4"/>
  <c r="P17" i="4"/>
  <c r="L72" i="4"/>
  <c r="Q17" i="4"/>
  <c r="N44" i="4"/>
  <c r="G61" i="4"/>
  <c r="M72" i="4"/>
  <c r="P44" i="4"/>
  <c r="N72" i="4"/>
  <c r="L61" i="4"/>
  <c r="K72" i="4"/>
  <c r="M25" i="4"/>
  <c r="L50" i="4"/>
  <c r="I72" i="4"/>
  <c r="J72" i="4"/>
  <c r="H6" i="3"/>
  <c r="O17" i="4"/>
  <c r="G47" i="4"/>
  <c r="H4" i="3"/>
  <c r="G6" i="4"/>
  <c r="E36" i="4"/>
  <c r="K53" i="4"/>
  <c r="F6" i="4"/>
  <c r="J36" i="4"/>
  <c r="L53" i="4"/>
  <c r="F48" i="4"/>
  <c r="P25" i="4"/>
  <c r="O3" i="4"/>
  <c r="Q25" i="4"/>
  <c r="F20" i="4"/>
  <c r="G5" i="4"/>
  <c r="F34" i="4"/>
  <c r="O5" i="4"/>
  <c r="Q16" i="4"/>
  <c r="E28" i="4"/>
  <c r="P73" i="4"/>
  <c r="I5" i="4"/>
  <c r="M5" i="4"/>
  <c r="P5" i="4"/>
  <c r="F28" i="4"/>
  <c r="Q73" i="4"/>
  <c r="H16" i="4"/>
  <c r="Q5" i="4"/>
  <c r="N28" i="4"/>
  <c r="G58" i="4"/>
  <c r="K5" i="4"/>
  <c r="G16" i="4"/>
  <c r="O78" i="4"/>
  <c r="H58" i="4"/>
  <c r="O14" i="4"/>
  <c r="M75" i="4"/>
  <c r="P14" i="4"/>
  <c r="E50" i="4"/>
  <c r="H72" i="4"/>
  <c r="N75" i="4"/>
  <c r="F22" i="4"/>
  <c r="E42" i="4"/>
  <c r="F62" i="4"/>
  <c r="I22" i="4"/>
  <c r="F42" i="4"/>
  <c r="G62" i="4"/>
  <c r="J22" i="4"/>
  <c r="I42" i="4"/>
  <c r="Q50" i="4"/>
  <c r="K22" i="4"/>
  <c r="M42" i="4"/>
  <c r="L22" i="4"/>
  <c r="Q6" i="4"/>
  <c r="G19" i="4"/>
  <c r="M22" i="4"/>
  <c r="Q59" i="4"/>
  <c r="G76" i="4"/>
  <c r="H19" i="4"/>
  <c r="N22" i="4"/>
  <c r="Q76" i="4"/>
  <c r="I19" i="4"/>
  <c r="O22" i="4"/>
  <c r="P3" i="4"/>
  <c r="E16" i="4"/>
  <c r="J19" i="4"/>
  <c r="P22" i="4"/>
  <c r="H33" i="4"/>
  <c r="G39" i="4"/>
  <c r="H47" i="4"/>
  <c r="F70" i="4"/>
  <c r="F16" i="4"/>
  <c r="K19" i="4"/>
  <c r="H39" i="4"/>
  <c r="J47" i="4"/>
  <c r="I70" i="4"/>
  <c r="L19" i="4"/>
  <c r="M19" i="4"/>
  <c r="I16" i="4"/>
  <c r="N19" i="4"/>
  <c r="J28" i="4"/>
  <c r="N39" i="4"/>
  <c r="E44" i="4"/>
  <c r="P47" i="4"/>
  <c r="O70" i="4"/>
  <c r="J16" i="4"/>
  <c r="P19" i="4"/>
  <c r="M28" i="4"/>
  <c r="O39" i="4"/>
  <c r="F44" i="4"/>
  <c r="P70" i="4"/>
  <c r="K16" i="4"/>
  <c r="P39" i="4"/>
  <c r="H44" i="4"/>
  <c r="Q70" i="4"/>
  <c r="J81" i="4"/>
  <c r="I8" i="4"/>
  <c r="L16" i="4"/>
  <c r="Q39" i="4"/>
  <c r="K44" i="4"/>
  <c r="G53" i="4"/>
  <c r="I61" i="4"/>
  <c r="K78" i="4"/>
  <c r="K8" i="4"/>
  <c r="N16" i="4"/>
  <c r="M44" i="4"/>
  <c r="H53" i="4"/>
  <c r="E58" i="4"/>
  <c r="J61" i="4"/>
  <c r="L78" i="4"/>
  <c r="J5" i="4"/>
  <c r="N8" i="4"/>
  <c r="E14" i="4"/>
  <c r="Q20" i="4"/>
  <c r="Q44" i="4"/>
  <c r="M53" i="4"/>
  <c r="I58" i="4"/>
  <c r="M61" i="4"/>
  <c r="G75" i="4"/>
  <c r="O8" i="4"/>
  <c r="F14" i="4"/>
  <c r="N53" i="4"/>
  <c r="J58" i="4"/>
  <c r="N61" i="4"/>
  <c r="H75" i="4"/>
  <c r="L5" i="4"/>
  <c r="P8" i="4"/>
  <c r="I14" i="4"/>
  <c r="G25" i="4"/>
  <c r="O53" i="4"/>
  <c r="K58" i="4"/>
  <c r="O61" i="4"/>
  <c r="I75" i="4"/>
  <c r="Q8" i="4"/>
  <c r="J14" i="4"/>
  <c r="P53" i="4"/>
  <c r="P61" i="4"/>
  <c r="J75" i="4"/>
  <c r="N5" i="4"/>
  <c r="M14" i="4"/>
  <c r="O25" i="4"/>
  <c r="F30" i="4"/>
  <c r="Q53" i="4"/>
  <c r="M58" i="4"/>
  <c r="Q61" i="4"/>
  <c r="K67" i="4"/>
  <c r="E72" i="4"/>
  <c r="K75" i="4"/>
  <c r="B8" i="3"/>
  <c r="P56" i="4"/>
  <c r="Q56" i="4"/>
  <c r="O73" i="4"/>
  <c r="F36" i="4"/>
  <c r="G67" i="4"/>
  <c r="E30" i="4"/>
  <c r="G33" i="4"/>
  <c r="I36" i="4"/>
  <c r="H67" i="4"/>
  <c r="G30" i="4"/>
  <c r="I33" i="4"/>
  <c r="K36" i="4"/>
  <c r="F50" i="4"/>
  <c r="L67" i="4"/>
  <c r="H30" i="4"/>
  <c r="J33" i="4"/>
  <c r="L36" i="4"/>
  <c r="M67" i="4"/>
  <c r="I30" i="4"/>
  <c r="K33" i="4"/>
  <c r="M36" i="4"/>
  <c r="E64" i="4"/>
  <c r="N67" i="4"/>
  <c r="M16" i="4"/>
  <c r="O19" i="4"/>
  <c r="Q22" i="4"/>
  <c r="J30" i="4"/>
  <c r="L33" i="4"/>
  <c r="N36" i="4"/>
  <c r="G44" i="4"/>
  <c r="I47" i="4"/>
  <c r="K50" i="4"/>
  <c r="F64" i="4"/>
  <c r="O67" i="4"/>
  <c r="K30" i="4"/>
  <c r="M33" i="4"/>
  <c r="O36" i="4"/>
  <c r="I64" i="4"/>
  <c r="P67" i="4"/>
  <c r="O16" i="4"/>
  <c r="Q19" i="4"/>
  <c r="L30" i="4"/>
  <c r="N33" i="4"/>
  <c r="P36" i="4"/>
  <c r="I44" i="4"/>
  <c r="K47" i="4"/>
  <c r="M50" i="4"/>
  <c r="H61" i="4"/>
  <c r="J64" i="4"/>
  <c r="Q67" i="4"/>
  <c r="E78" i="4"/>
  <c r="M30" i="4"/>
  <c r="O33" i="4"/>
  <c r="Q36" i="4"/>
  <c r="J44" i="4"/>
  <c r="L47" i="4"/>
  <c r="N50" i="4"/>
  <c r="K64" i="4"/>
  <c r="F78" i="4"/>
  <c r="N30" i="4"/>
  <c r="P33" i="4"/>
  <c r="O50" i="4"/>
  <c r="L64" i="4"/>
  <c r="I78" i="4"/>
  <c r="O30" i="4"/>
  <c r="Q33" i="4"/>
  <c r="L44" i="4"/>
  <c r="N47" i="4"/>
  <c r="P50" i="4"/>
  <c r="M64" i="4"/>
  <c r="J78" i="4"/>
  <c r="P30" i="4"/>
  <c r="N64" i="4"/>
  <c r="O64" i="4"/>
  <c r="Q3" i="4"/>
  <c r="G20" i="4"/>
  <c r="I28" i="4"/>
  <c r="Q47" i="4"/>
  <c r="P64" i="4"/>
  <c r="M78" i="4"/>
  <c r="G11" i="4"/>
  <c r="H11" i="4"/>
  <c r="G34" i="4"/>
  <c r="P78" i="4"/>
  <c r="K11" i="4"/>
  <c r="O28" i="4"/>
  <c r="O31" i="4"/>
  <c r="Q34" i="4"/>
  <c r="J42" i="4"/>
  <c r="E56" i="4"/>
  <c r="Q78" i="4"/>
  <c r="L11" i="4"/>
  <c r="P28" i="4"/>
  <c r="P31" i="4"/>
  <c r="F56" i="4"/>
  <c r="P75" i="4"/>
  <c r="M11" i="4"/>
  <c r="H25" i="4"/>
  <c r="Q28" i="4"/>
  <c r="Q31" i="4"/>
  <c r="N42" i="4"/>
  <c r="G48" i="4"/>
  <c r="I56" i="4"/>
  <c r="O72" i="4"/>
  <c r="Q75" i="4"/>
  <c r="N11" i="4"/>
  <c r="K25" i="4"/>
  <c r="O42" i="4"/>
  <c r="Q48" i="4"/>
  <c r="J56" i="4"/>
  <c r="E70" i="4"/>
  <c r="P72" i="4"/>
  <c r="F8" i="4"/>
  <c r="O11" i="4"/>
  <c r="L25" i="4"/>
  <c r="P42" i="4"/>
  <c r="M56" i="4"/>
  <c r="P11" i="4"/>
  <c r="Q42" i="4"/>
  <c r="N56" i="4"/>
  <c r="H5" i="4"/>
  <c r="J8" i="4"/>
  <c r="Q11" i="4"/>
  <c r="E22" i="4"/>
  <c r="N25" i="4"/>
  <c r="K39" i="4"/>
  <c r="O56" i="4"/>
  <c r="O59" i="4"/>
  <c r="Q62" i="4"/>
  <c r="J70" i="4"/>
  <c r="F8" i="3"/>
  <c r="H5" i="3"/>
  <c r="H7" i="3"/>
  <c r="C8" i="3"/>
  <c r="E8" i="3"/>
  <c r="D8" i="3"/>
  <c r="R76" i="4"/>
  <c r="R73" i="4"/>
  <c r="R50" i="4"/>
  <c r="R70" i="4"/>
  <c r="R6" i="4"/>
  <c r="R71" i="4"/>
  <c r="R34" i="4"/>
  <c r="R31" i="4"/>
  <c r="R61" i="4"/>
  <c r="R42" i="4"/>
  <c r="R52" i="4"/>
  <c r="R45" i="4"/>
  <c r="R5" i="4"/>
  <c r="R13" i="4"/>
  <c r="R28" i="4"/>
  <c r="R67" i="4"/>
  <c r="R3" i="4"/>
  <c r="R48" i="4"/>
  <c r="R22" i="4"/>
  <c r="R58" i="4"/>
  <c r="R39" i="4"/>
  <c r="R43" i="4"/>
  <c r="R69" i="4"/>
  <c r="R14" i="4"/>
  <c r="R56" i="4"/>
  <c r="R20" i="4"/>
  <c r="R17" i="4"/>
  <c r="R24" i="4"/>
  <c r="R59" i="4"/>
  <c r="R62" i="4"/>
  <c r="R30" i="4"/>
  <c r="R33" i="4"/>
  <c r="R78" i="4"/>
  <c r="R11" i="4"/>
  <c r="R15" i="4"/>
  <c r="R41" i="4"/>
  <c r="E13" i="4"/>
  <c r="E27" i="4"/>
  <c r="E41" i="4"/>
  <c r="E55" i="4"/>
  <c r="E69" i="4"/>
  <c r="F13" i="4"/>
  <c r="F27" i="4"/>
  <c r="F41" i="4"/>
  <c r="F55" i="4"/>
  <c r="F69" i="4"/>
  <c r="E10" i="4"/>
  <c r="G13" i="4"/>
  <c r="E24" i="4"/>
  <c r="G27" i="4"/>
  <c r="E38" i="4"/>
  <c r="G41" i="4"/>
  <c r="E52" i="4"/>
  <c r="G55" i="4"/>
  <c r="E66" i="4"/>
  <c r="G69" i="4"/>
  <c r="F10" i="4"/>
  <c r="H13" i="4"/>
  <c r="F24" i="4"/>
  <c r="H27" i="4"/>
  <c r="F38" i="4"/>
  <c r="H41" i="4"/>
  <c r="F52" i="4"/>
  <c r="H55" i="4"/>
  <c r="F66" i="4"/>
  <c r="H69" i="4"/>
  <c r="E7" i="4"/>
  <c r="G10" i="4"/>
  <c r="I13" i="4"/>
  <c r="E21" i="4"/>
  <c r="G24" i="4"/>
  <c r="I27" i="4"/>
  <c r="E35" i="4"/>
  <c r="G38" i="4"/>
  <c r="I41" i="4"/>
  <c r="E49" i="4"/>
  <c r="G52" i="4"/>
  <c r="I55" i="4"/>
  <c r="E63" i="4"/>
  <c r="G66" i="4"/>
  <c r="I69" i="4"/>
  <c r="E77" i="4"/>
  <c r="F7" i="4"/>
  <c r="H10" i="4"/>
  <c r="J13" i="4"/>
  <c r="F21" i="4"/>
  <c r="H24" i="4"/>
  <c r="R25" i="4"/>
  <c r="J27" i="4"/>
  <c r="F35" i="4"/>
  <c r="H38" i="4"/>
  <c r="J41" i="4"/>
  <c r="F49" i="4"/>
  <c r="H52" i="4"/>
  <c r="R53" i="4"/>
  <c r="J55" i="4"/>
  <c r="F63" i="4"/>
  <c r="H66" i="4"/>
  <c r="J69" i="4"/>
  <c r="F77" i="4"/>
  <c r="E4" i="4"/>
  <c r="G7" i="4"/>
  <c r="I10" i="4"/>
  <c r="K13" i="4"/>
  <c r="E18" i="4"/>
  <c r="G21" i="4"/>
  <c r="I24" i="4"/>
  <c r="K27" i="4"/>
  <c r="E32" i="4"/>
  <c r="G35" i="4"/>
  <c r="I38" i="4"/>
  <c r="K41" i="4"/>
  <c r="E46" i="4"/>
  <c r="G49" i="4"/>
  <c r="I52" i="4"/>
  <c r="K55" i="4"/>
  <c r="E60" i="4"/>
  <c r="G63" i="4"/>
  <c r="I66" i="4"/>
  <c r="K69" i="4"/>
  <c r="E74" i="4"/>
  <c r="G77" i="4"/>
  <c r="F4" i="4"/>
  <c r="H7" i="4"/>
  <c r="R8" i="4"/>
  <c r="J10" i="4"/>
  <c r="L13" i="4"/>
  <c r="F18" i="4"/>
  <c r="H21" i="4"/>
  <c r="J24" i="4"/>
  <c r="L27" i="4"/>
  <c r="F32" i="4"/>
  <c r="H35" i="4"/>
  <c r="R36" i="4"/>
  <c r="J38" i="4"/>
  <c r="L41" i="4"/>
  <c r="F46" i="4"/>
  <c r="H49" i="4"/>
  <c r="J52" i="4"/>
  <c r="L55" i="4"/>
  <c r="F60" i="4"/>
  <c r="H63" i="4"/>
  <c r="R64" i="4"/>
  <c r="J66" i="4"/>
  <c r="L69" i="4"/>
  <c r="F74" i="4"/>
  <c r="H77" i="4"/>
  <c r="G4" i="4"/>
  <c r="I7" i="4"/>
  <c r="K10" i="4"/>
  <c r="M13" i="4"/>
  <c r="E15" i="4"/>
  <c r="G18" i="4"/>
  <c r="I21" i="4"/>
  <c r="K24" i="4"/>
  <c r="M27" i="4"/>
  <c r="E29" i="4"/>
  <c r="G32" i="4"/>
  <c r="I35" i="4"/>
  <c r="K38" i="4"/>
  <c r="M41" i="4"/>
  <c r="E43" i="4"/>
  <c r="G46" i="4"/>
  <c r="I49" i="4"/>
  <c r="K52" i="4"/>
  <c r="M55" i="4"/>
  <c r="E57" i="4"/>
  <c r="G60" i="4"/>
  <c r="I63" i="4"/>
  <c r="K66" i="4"/>
  <c r="M69" i="4"/>
  <c r="E71" i="4"/>
  <c r="G74" i="4"/>
  <c r="I77" i="4"/>
  <c r="H4" i="4"/>
  <c r="J7" i="4"/>
  <c r="L10" i="4"/>
  <c r="N13" i="4"/>
  <c r="F15" i="4"/>
  <c r="H18" i="4"/>
  <c r="R19" i="4"/>
  <c r="J21" i="4"/>
  <c r="L24" i="4"/>
  <c r="N27" i="4"/>
  <c r="F29" i="4"/>
  <c r="H32" i="4"/>
  <c r="J35" i="4"/>
  <c r="L38" i="4"/>
  <c r="N41" i="4"/>
  <c r="F43" i="4"/>
  <c r="H46" i="4"/>
  <c r="R47" i="4"/>
  <c r="J49" i="4"/>
  <c r="L52" i="4"/>
  <c r="N55" i="4"/>
  <c r="F57" i="4"/>
  <c r="H60" i="4"/>
  <c r="J63" i="4"/>
  <c r="L66" i="4"/>
  <c r="N69" i="4"/>
  <c r="F71" i="4"/>
  <c r="H74" i="4"/>
  <c r="R75" i="4"/>
  <c r="J77" i="4"/>
  <c r="I4" i="4"/>
  <c r="K7" i="4"/>
  <c r="M10" i="4"/>
  <c r="E12" i="4"/>
  <c r="O13" i="4"/>
  <c r="G15" i="4"/>
  <c r="I18" i="4"/>
  <c r="K21" i="4"/>
  <c r="M24" i="4"/>
  <c r="E26" i="4"/>
  <c r="O27" i="4"/>
  <c r="G29" i="4"/>
  <c r="I32" i="4"/>
  <c r="K35" i="4"/>
  <c r="M38" i="4"/>
  <c r="E40" i="4"/>
  <c r="O41" i="4"/>
  <c r="G43" i="4"/>
  <c r="I46" i="4"/>
  <c r="K49" i="4"/>
  <c r="M52" i="4"/>
  <c r="E54" i="4"/>
  <c r="O55" i="4"/>
  <c r="G57" i="4"/>
  <c r="I60" i="4"/>
  <c r="K63" i="4"/>
  <c r="M66" i="4"/>
  <c r="E68" i="4"/>
  <c r="O69" i="4"/>
  <c r="G71" i="4"/>
  <c r="I74" i="4"/>
  <c r="K77" i="4"/>
  <c r="J4" i="4"/>
  <c r="L7" i="4"/>
  <c r="N10" i="4"/>
  <c r="F12" i="4"/>
  <c r="P13" i="4"/>
  <c r="H15" i="4"/>
  <c r="R16" i="4"/>
  <c r="J18" i="4"/>
  <c r="L21" i="4"/>
  <c r="N24" i="4"/>
  <c r="F26" i="4"/>
  <c r="P27" i="4"/>
  <c r="H29" i="4"/>
  <c r="J32" i="4"/>
  <c r="L35" i="4"/>
  <c r="N38" i="4"/>
  <c r="F40" i="4"/>
  <c r="P41" i="4"/>
  <c r="H43" i="4"/>
  <c r="R44" i="4"/>
  <c r="J46" i="4"/>
  <c r="L49" i="4"/>
  <c r="N52" i="4"/>
  <c r="F54" i="4"/>
  <c r="P55" i="4"/>
  <c r="H57" i="4"/>
  <c r="J60" i="4"/>
  <c r="L63" i="4"/>
  <c r="N66" i="4"/>
  <c r="F68" i="4"/>
  <c r="P69" i="4"/>
  <c r="H71" i="4"/>
  <c r="R72" i="4"/>
  <c r="J74" i="4"/>
  <c r="L77" i="4"/>
  <c r="K4" i="4"/>
  <c r="M7" i="4"/>
  <c r="E9" i="4"/>
  <c r="O10" i="4"/>
  <c r="G12" i="4"/>
  <c r="I15" i="4"/>
  <c r="K18" i="4"/>
  <c r="M21" i="4"/>
  <c r="E23" i="4"/>
  <c r="O24" i="4"/>
  <c r="G26" i="4"/>
  <c r="I29" i="4"/>
  <c r="K32" i="4"/>
  <c r="M35" i="4"/>
  <c r="E37" i="4"/>
  <c r="O38" i="4"/>
  <c r="G40" i="4"/>
  <c r="I43" i="4"/>
  <c r="K46" i="4"/>
  <c r="M49" i="4"/>
  <c r="E51" i="4"/>
  <c r="O52" i="4"/>
  <c r="G54" i="4"/>
  <c r="I57" i="4"/>
  <c r="K60" i="4"/>
  <c r="M63" i="4"/>
  <c r="E65" i="4"/>
  <c r="O66" i="4"/>
  <c r="G68" i="4"/>
  <c r="I71" i="4"/>
  <c r="K74" i="4"/>
  <c r="M77" i="4"/>
  <c r="E79" i="4"/>
  <c r="L4" i="4"/>
  <c r="N7" i="4"/>
  <c r="F9" i="4"/>
  <c r="P10" i="4"/>
  <c r="H12" i="4"/>
  <c r="J15" i="4"/>
  <c r="L18" i="4"/>
  <c r="N21" i="4"/>
  <c r="F23" i="4"/>
  <c r="P24" i="4"/>
  <c r="H26" i="4"/>
  <c r="R27" i="4"/>
  <c r="J29" i="4"/>
  <c r="L32" i="4"/>
  <c r="N35" i="4"/>
  <c r="F37" i="4"/>
  <c r="P38" i="4"/>
  <c r="H40" i="4"/>
  <c r="J43" i="4"/>
  <c r="L46" i="4"/>
  <c r="N49" i="4"/>
  <c r="F51" i="4"/>
  <c r="P52" i="4"/>
  <c r="H54" i="4"/>
  <c r="R55" i="4"/>
  <c r="J57" i="4"/>
  <c r="L60" i="4"/>
  <c r="N63" i="4"/>
  <c r="F65" i="4"/>
  <c r="P66" i="4"/>
  <c r="H68" i="4"/>
  <c r="J71" i="4"/>
  <c r="L74" i="4"/>
  <c r="N77" i="4"/>
  <c r="F79" i="4"/>
  <c r="M4" i="4"/>
  <c r="E6" i="4"/>
  <c r="O7" i="4"/>
  <c r="G9" i="4"/>
  <c r="I12" i="4"/>
  <c r="K15" i="4"/>
  <c r="M18" i="4"/>
  <c r="E20" i="4"/>
  <c r="O21" i="4"/>
  <c r="G23" i="4"/>
  <c r="I26" i="4"/>
  <c r="K29" i="4"/>
  <c r="M32" i="4"/>
  <c r="E34" i="4"/>
  <c r="O35" i="4"/>
  <c r="G37" i="4"/>
  <c r="I40" i="4"/>
  <c r="K43" i="4"/>
  <c r="M46" i="4"/>
  <c r="E48" i="4"/>
  <c r="O49" i="4"/>
  <c r="G51" i="4"/>
  <c r="I54" i="4"/>
  <c r="K57" i="4"/>
  <c r="M60" i="4"/>
  <c r="E62" i="4"/>
  <c r="O63" i="4"/>
  <c r="G65" i="4"/>
  <c r="I68" i="4"/>
  <c r="K71" i="4"/>
  <c r="M74" i="4"/>
  <c r="E76" i="4"/>
  <c r="O77" i="4"/>
  <c r="G79" i="4"/>
  <c r="N4" i="4"/>
  <c r="P7" i="4"/>
  <c r="H9" i="4"/>
  <c r="R10" i="4"/>
  <c r="J12" i="4"/>
  <c r="L15" i="4"/>
  <c r="N18" i="4"/>
  <c r="P21" i="4"/>
  <c r="H23" i="4"/>
  <c r="J26" i="4"/>
  <c r="L29" i="4"/>
  <c r="N32" i="4"/>
  <c r="P35" i="4"/>
  <c r="H37" i="4"/>
  <c r="R38" i="4"/>
  <c r="J40" i="4"/>
  <c r="L43" i="4"/>
  <c r="N46" i="4"/>
  <c r="P49" i="4"/>
  <c r="H51" i="4"/>
  <c r="J54" i="4"/>
  <c r="L57" i="4"/>
  <c r="N60" i="4"/>
  <c r="P63" i="4"/>
  <c r="H65" i="4"/>
  <c r="R66" i="4"/>
  <c r="J68" i="4"/>
  <c r="L71" i="4"/>
  <c r="N74" i="4"/>
  <c r="P77" i="4"/>
  <c r="H79" i="4"/>
  <c r="E3" i="4"/>
  <c r="O4" i="4"/>
  <c r="I9" i="4"/>
  <c r="K12" i="4"/>
  <c r="M15" i="4"/>
  <c r="E17" i="4"/>
  <c r="O18" i="4"/>
  <c r="I23" i="4"/>
  <c r="K26" i="4"/>
  <c r="M29" i="4"/>
  <c r="E31" i="4"/>
  <c r="O32" i="4"/>
  <c r="I37" i="4"/>
  <c r="K40" i="4"/>
  <c r="M43" i="4"/>
  <c r="E45" i="4"/>
  <c r="O46" i="4"/>
  <c r="I51" i="4"/>
  <c r="K54" i="4"/>
  <c r="M57" i="4"/>
  <c r="E59" i="4"/>
  <c r="O60" i="4"/>
  <c r="I65" i="4"/>
  <c r="K68" i="4"/>
  <c r="M71" i="4"/>
  <c r="E73" i="4"/>
  <c r="O74" i="4"/>
  <c r="I79" i="4"/>
  <c r="F3" i="4"/>
  <c r="P4" i="4"/>
  <c r="H6" i="4"/>
  <c r="R7" i="4"/>
  <c r="J9" i="4"/>
  <c r="L12" i="4"/>
  <c r="N15" i="4"/>
  <c r="F17" i="4"/>
  <c r="P18" i="4"/>
  <c r="H20" i="4"/>
  <c r="R21" i="4"/>
  <c r="J23" i="4"/>
  <c r="L26" i="4"/>
  <c r="N29" i="4"/>
  <c r="F31" i="4"/>
  <c r="P32" i="4"/>
  <c r="H34" i="4"/>
  <c r="R35" i="4"/>
  <c r="J37" i="4"/>
  <c r="L40" i="4"/>
  <c r="N43" i="4"/>
  <c r="F45" i="4"/>
  <c r="P46" i="4"/>
  <c r="H48" i="4"/>
  <c r="R49" i="4"/>
  <c r="J51" i="4"/>
  <c r="L54" i="4"/>
  <c r="N57" i="4"/>
  <c r="F59" i="4"/>
  <c r="P60" i="4"/>
  <c r="H62" i="4"/>
  <c r="R63" i="4"/>
  <c r="J65" i="4"/>
  <c r="L68" i="4"/>
  <c r="N71" i="4"/>
  <c r="F73" i="4"/>
  <c r="P74" i="4"/>
  <c r="H76" i="4"/>
  <c r="R77" i="4"/>
  <c r="J79" i="4"/>
  <c r="G3" i="4"/>
  <c r="I6" i="4"/>
  <c r="K9" i="4"/>
  <c r="M12" i="4"/>
  <c r="O15" i="4"/>
  <c r="G17" i="4"/>
  <c r="I20" i="4"/>
  <c r="K23" i="4"/>
  <c r="M26" i="4"/>
  <c r="O29" i="4"/>
  <c r="G31" i="4"/>
  <c r="I34" i="4"/>
  <c r="K37" i="4"/>
  <c r="M40" i="4"/>
  <c r="O43" i="4"/>
  <c r="G45" i="4"/>
  <c r="I48" i="4"/>
  <c r="K51" i="4"/>
  <c r="M54" i="4"/>
  <c r="O57" i="4"/>
  <c r="G59" i="4"/>
  <c r="I62" i="4"/>
  <c r="K65" i="4"/>
  <c r="M68" i="4"/>
  <c r="O71" i="4"/>
  <c r="G73" i="4"/>
  <c r="I76" i="4"/>
  <c r="K79" i="4"/>
  <c r="H3" i="4"/>
  <c r="R4" i="4"/>
  <c r="J6" i="4"/>
  <c r="L9" i="4"/>
  <c r="N12" i="4"/>
  <c r="P15" i="4"/>
  <c r="H17" i="4"/>
  <c r="R18" i="4"/>
  <c r="J20" i="4"/>
  <c r="L23" i="4"/>
  <c r="N26" i="4"/>
  <c r="P29" i="4"/>
  <c r="H31" i="4"/>
  <c r="R32" i="4"/>
  <c r="J34" i="4"/>
  <c r="L37" i="4"/>
  <c r="N40" i="4"/>
  <c r="P43" i="4"/>
  <c r="H45" i="4"/>
  <c r="R46" i="4"/>
  <c r="J48" i="4"/>
  <c r="L51" i="4"/>
  <c r="N54" i="4"/>
  <c r="P57" i="4"/>
  <c r="H59" i="4"/>
  <c r="R60" i="4"/>
  <c r="J62" i="4"/>
  <c r="L65" i="4"/>
  <c r="N68" i="4"/>
  <c r="P71" i="4"/>
  <c r="H73" i="4"/>
  <c r="R74" i="4"/>
  <c r="J76" i="4"/>
  <c r="L79" i="4"/>
  <c r="I3" i="4"/>
  <c r="K6" i="4"/>
  <c r="M9" i="4"/>
  <c r="E11" i="4"/>
  <c r="O12" i="4"/>
  <c r="G14" i="4"/>
  <c r="I17" i="4"/>
  <c r="K20" i="4"/>
  <c r="M23" i="4"/>
  <c r="E25" i="4"/>
  <c r="O26" i="4"/>
  <c r="G28" i="4"/>
  <c r="I31" i="4"/>
  <c r="K34" i="4"/>
  <c r="M37" i="4"/>
  <c r="E39" i="4"/>
  <c r="O40" i="4"/>
  <c r="G42" i="4"/>
  <c r="I45" i="4"/>
  <c r="K48" i="4"/>
  <c r="M51" i="4"/>
  <c r="E53" i="4"/>
  <c r="O54" i="4"/>
  <c r="G56" i="4"/>
  <c r="I59" i="4"/>
  <c r="K62" i="4"/>
  <c r="M65" i="4"/>
  <c r="E67" i="4"/>
  <c r="O68" i="4"/>
  <c r="G70" i="4"/>
  <c r="I73" i="4"/>
  <c r="K76" i="4"/>
  <c r="M79" i="4"/>
  <c r="J3" i="4"/>
  <c r="L6" i="4"/>
  <c r="N9" i="4"/>
  <c r="F11" i="4"/>
  <c r="P12" i="4"/>
  <c r="H14" i="4"/>
  <c r="J17" i="4"/>
  <c r="L20" i="4"/>
  <c r="N23" i="4"/>
  <c r="F25" i="4"/>
  <c r="P26" i="4"/>
  <c r="H28" i="4"/>
  <c r="R29" i="4"/>
  <c r="J31" i="4"/>
  <c r="L34" i="4"/>
  <c r="N37" i="4"/>
  <c r="F39" i="4"/>
  <c r="P40" i="4"/>
  <c r="H42" i="4"/>
  <c r="J45" i="4"/>
  <c r="L48" i="4"/>
  <c r="N51" i="4"/>
  <c r="F53" i="4"/>
  <c r="P54" i="4"/>
  <c r="H56" i="4"/>
  <c r="R57" i="4"/>
  <c r="J59" i="4"/>
  <c r="L62" i="4"/>
  <c r="N65" i="4"/>
  <c r="F67" i="4"/>
  <c r="P68" i="4"/>
  <c r="H70" i="4"/>
  <c r="J73" i="4"/>
  <c r="L76" i="4"/>
  <c r="N79" i="4"/>
  <c r="K3" i="4"/>
  <c r="M6" i="4"/>
  <c r="O9" i="4"/>
  <c r="K17" i="4"/>
  <c r="M20" i="4"/>
  <c r="O23" i="4"/>
  <c r="K31" i="4"/>
  <c r="M34" i="4"/>
  <c r="O37" i="4"/>
  <c r="K45" i="4"/>
  <c r="M48" i="4"/>
  <c r="O51" i="4"/>
  <c r="K59" i="4"/>
  <c r="M62" i="4"/>
  <c r="O65" i="4"/>
  <c r="K73" i="4"/>
  <c r="M76" i="4"/>
  <c r="O79" i="4"/>
  <c r="L3" i="4"/>
  <c r="N6" i="4"/>
  <c r="P9" i="4"/>
  <c r="R12" i="4"/>
  <c r="L17" i="4"/>
  <c r="N20" i="4"/>
  <c r="P23" i="4"/>
  <c r="R26" i="4"/>
  <c r="L31" i="4"/>
  <c r="N34" i="4"/>
  <c r="P37" i="4"/>
  <c r="R40" i="4"/>
  <c r="L45" i="4"/>
  <c r="N48" i="4"/>
  <c r="P51" i="4"/>
  <c r="R54" i="4"/>
  <c r="L59" i="4"/>
  <c r="N62" i="4"/>
  <c r="P65" i="4"/>
  <c r="R68" i="4"/>
  <c r="L73" i="4"/>
  <c r="N76" i="4"/>
  <c r="P79" i="4"/>
  <c r="M3" i="4"/>
  <c r="E5" i="4"/>
  <c r="O6" i="4"/>
  <c r="G8" i="4"/>
  <c r="I11" i="4"/>
  <c r="K14" i="4"/>
  <c r="M17" i="4"/>
  <c r="E19" i="4"/>
  <c r="O20" i="4"/>
  <c r="G22" i="4"/>
  <c r="I25" i="4"/>
  <c r="K28" i="4"/>
  <c r="M31" i="4"/>
  <c r="E33" i="4"/>
  <c r="O34" i="4"/>
  <c r="G36" i="4"/>
  <c r="I39" i="4"/>
  <c r="K42" i="4"/>
  <c r="M45" i="4"/>
  <c r="E47" i="4"/>
  <c r="O48" i="4"/>
  <c r="G50" i="4"/>
  <c r="I53" i="4"/>
  <c r="K56" i="4"/>
  <c r="M59" i="4"/>
  <c r="E61" i="4"/>
  <c r="O62" i="4"/>
  <c r="G64" i="4"/>
  <c r="I67" i="4"/>
  <c r="K70" i="4"/>
  <c r="M73" i="4"/>
  <c r="E75" i="4"/>
  <c r="O76" i="4"/>
  <c r="G78" i="4"/>
  <c r="R9" i="4"/>
  <c r="R23" i="4"/>
  <c r="R37" i="4"/>
  <c r="R51" i="4"/>
  <c r="R65" i="4"/>
  <c r="R79" i="4"/>
  <c r="S27" i="1"/>
  <c r="S23" i="1"/>
  <c r="S33" i="1"/>
  <c r="S2" i="1"/>
  <c r="S42" i="1"/>
  <c r="S53" i="1"/>
  <c r="S35" i="1"/>
  <c r="S40" i="1"/>
  <c r="S5" i="1"/>
  <c r="S18" i="1"/>
  <c r="S30" i="1"/>
  <c r="S54" i="1"/>
  <c r="S52" i="1"/>
  <c r="S25" i="1"/>
  <c r="S38" i="1"/>
  <c r="S6" i="1"/>
  <c r="S63" i="1"/>
  <c r="S132" i="1"/>
  <c r="S104" i="1"/>
  <c r="S76" i="1"/>
  <c r="S26" i="1"/>
  <c r="S131" i="1"/>
  <c r="S103" i="1"/>
  <c r="S75" i="1"/>
  <c r="S56" i="1"/>
  <c r="S133" i="1"/>
  <c r="S105" i="1"/>
  <c r="S77" i="1"/>
  <c r="S32" i="1"/>
  <c r="S156" i="1"/>
  <c r="S128" i="1"/>
  <c r="S100" i="1"/>
  <c r="S72" i="1"/>
  <c r="S60" i="1"/>
  <c r="S158" i="1"/>
  <c r="S130" i="1"/>
  <c r="S102" i="1"/>
  <c r="S74" i="1"/>
  <c r="S62" i="1"/>
  <c r="S155" i="1"/>
  <c r="S127" i="1"/>
  <c r="S99" i="1"/>
  <c r="S71" i="1"/>
  <c r="S20" i="1"/>
  <c r="S148" i="1"/>
  <c r="S120" i="1"/>
  <c r="S92" i="1"/>
  <c r="S51" i="1"/>
  <c r="S140" i="1"/>
  <c r="S112" i="1"/>
  <c r="S84" i="1"/>
  <c r="S10" i="1"/>
  <c r="S157" i="1"/>
  <c r="S129" i="1"/>
  <c r="S101" i="1"/>
  <c r="S73" i="1"/>
  <c r="S61" i="1"/>
  <c r="S153" i="1"/>
  <c r="S125" i="1"/>
  <c r="S97" i="1"/>
  <c r="S69" i="1"/>
  <c r="S152" i="1"/>
  <c r="S124" i="1"/>
  <c r="S96" i="1"/>
  <c r="S68" i="1"/>
  <c r="S138" i="1"/>
  <c r="S110" i="1"/>
  <c r="S82" i="1"/>
  <c r="S39" i="1"/>
  <c r="S136" i="1"/>
  <c r="S108" i="1"/>
  <c r="S80" i="1"/>
  <c r="S135" i="1"/>
  <c r="S107" i="1"/>
  <c r="S79" i="1"/>
  <c r="S134" i="1"/>
  <c r="S106" i="1"/>
  <c r="S78" i="1"/>
  <c r="S147" i="1"/>
  <c r="S119" i="1"/>
  <c r="S91" i="1"/>
  <c r="S50" i="1"/>
  <c r="S146" i="1"/>
  <c r="S118" i="1"/>
  <c r="S90" i="1"/>
  <c r="S49" i="1"/>
  <c r="S145" i="1"/>
  <c r="S117" i="1"/>
  <c r="S89" i="1"/>
  <c r="S48" i="1"/>
  <c r="S144" i="1"/>
  <c r="S116" i="1"/>
  <c r="S88" i="1"/>
  <c r="S47" i="1"/>
  <c r="S143" i="1"/>
  <c r="S115" i="1"/>
  <c r="S87" i="1"/>
  <c r="S44" i="1"/>
  <c r="S142" i="1"/>
  <c r="S114" i="1"/>
  <c r="S86" i="1"/>
  <c r="S43" i="1"/>
  <c r="S141" i="1"/>
  <c r="S113" i="1"/>
  <c r="S85" i="1"/>
  <c r="S11" i="1"/>
  <c r="S139" i="1"/>
  <c r="S111" i="1"/>
  <c r="S83" i="1"/>
  <c r="S9" i="1"/>
  <c r="S137" i="1"/>
  <c r="S109" i="1"/>
  <c r="S81" i="1"/>
  <c r="S154" i="1"/>
  <c r="S126" i="1"/>
  <c r="S98" i="1"/>
  <c r="S70" i="1"/>
  <c r="S21" i="1"/>
  <c r="S151" i="1"/>
  <c r="S123" i="1"/>
  <c r="S95" i="1"/>
  <c r="S67" i="1"/>
  <c r="S150" i="1"/>
  <c r="S122" i="1"/>
  <c r="S94" i="1"/>
  <c r="S66" i="1"/>
  <c r="S13" i="1"/>
  <c r="S149" i="1"/>
  <c r="S121" i="1"/>
  <c r="S93" i="1"/>
  <c r="S65" i="1"/>
  <c r="L9" i="7" l="1"/>
  <c r="K11" i="7"/>
  <c r="J11" i="7"/>
  <c r="K5" i="7"/>
  <c r="J21" i="7" s="1"/>
  <c r="G5" i="3"/>
  <c r="K5" i="3" s="1"/>
  <c r="G6" i="3"/>
  <c r="K6" i="3" s="1"/>
  <c r="G7" i="3"/>
  <c r="K7" i="3" s="1"/>
  <c r="G4" i="3"/>
  <c r="A12" i="3" a="1"/>
  <c r="A12" i="3" s="1"/>
  <c r="H8" i="3"/>
  <c r="L11" i="7" l="1"/>
  <c r="I51" i="7"/>
  <c r="G23" i="7"/>
  <c r="I50" i="7"/>
  <c r="G22" i="7"/>
  <c r="I49" i="7"/>
  <c r="G21" i="7"/>
  <c r="I48" i="7"/>
  <c r="G20" i="7"/>
  <c r="I47" i="7"/>
  <c r="G19" i="7"/>
  <c r="I46" i="7"/>
  <c r="G18" i="7"/>
  <c r="K4" i="3"/>
  <c r="G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<sst xmlns="http://schemas.openxmlformats.org/spreadsheetml/2006/main" count="1508" uniqueCount="485">
  <si>
    <t>MDR Certificate</t>
  </si>
  <si>
    <t>TD</t>
  </si>
  <si>
    <t>PSUR/PMSR ID</t>
  </si>
  <si>
    <t>Product Name</t>
  </si>
  <si>
    <t>Class</t>
  </si>
  <si>
    <t>Type</t>
  </si>
  <si>
    <t>Start Period</t>
  </si>
  <si>
    <t>End Period</t>
  </si>
  <si>
    <t>Frequency</t>
  </si>
  <si>
    <t>Due Date</t>
  </si>
  <si>
    <t>Status</t>
  </si>
  <si>
    <t>Combined PSUR</t>
  </si>
  <si>
    <t>Notes</t>
  </si>
  <si>
    <t>Days Remaining</t>
  </si>
  <si>
    <t>Priority</t>
  </si>
  <si>
    <t>Quarter</t>
  </si>
  <si>
    <t>Completion %</t>
  </si>
  <si>
    <t>Overdue?</t>
  </si>
  <si>
    <t>MDR 768146</t>
  </si>
  <si>
    <t>TD011</t>
  </si>
  <si>
    <t>PSUR011</t>
  </si>
  <si>
    <t>Biopsy Medium</t>
  </si>
  <si>
    <t>III</t>
  </si>
  <si>
    <t>Media</t>
  </si>
  <si>
    <t>Annually</t>
  </si>
  <si>
    <t>Not Started</t>
  </si>
  <si>
    <t>None</t>
  </si>
  <si>
    <t>BSI submission 23 October 2026</t>
  </si>
  <si>
    <t>🟢 ON TRACK</t>
  </si>
  <si>
    <t>MDR 768142</t>
  </si>
  <si>
    <t>TD019</t>
  </si>
  <si>
    <t>PSUR019</t>
  </si>
  <si>
    <t>Blast Freeze/BlastThaw</t>
  </si>
  <si>
    <t>1 year</t>
  </si>
  <si>
    <t>BSI submissiom 18 May 2026</t>
  </si>
  <si>
    <t>🟡 SOON</t>
  </si>
  <si>
    <t>Q2 2026</t>
  </si>
  <si>
    <t>MDR 768161</t>
  </si>
  <si>
    <t>TD021</t>
  </si>
  <si>
    <t>PSUR021</t>
  </si>
  <si>
    <t>Cryosperm (1101)</t>
  </si>
  <si>
    <t>Completed</t>
  </si>
  <si>
    <t>BSI submissiom 11 February 2026 Combine PSUR021, PSUR201, PSUR029, We can have next surveillanc eperiod 1/1/2025 to 12/31/2025</t>
  </si>
  <si>
    <t>✅ DONE</t>
  </si>
  <si>
    <t>Q1 2026</t>
  </si>
  <si>
    <t>MDR 768143</t>
  </si>
  <si>
    <t>TD022</t>
  </si>
  <si>
    <t>PSUR022</t>
  </si>
  <si>
    <t>Embryo Freezing &amp; Thawing Pack</t>
  </si>
  <si>
    <t>BSI submissiom 18 May 2026, this reporting is completed in old template need to complete in new template
Stefania is asking for the latest data till December 2025</t>
  </si>
  <si>
    <t>🟠 URGENT</t>
  </si>
  <si>
    <t>MDR 768152</t>
  </si>
  <si>
    <t>TD025</t>
  </si>
  <si>
    <t>PSUR025</t>
  </si>
  <si>
    <t>ICSI Cumulase</t>
  </si>
  <si>
    <t>In progress</t>
  </si>
  <si>
    <t>BSI submissiom 08 April 2026</t>
  </si>
  <si>
    <t>MDR 768145</t>
  </si>
  <si>
    <t>TD026</t>
  </si>
  <si>
    <t>PSUR026</t>
  </si>
  <si>
    <t>MediCult IVM® System (8221)</t>
  </si>
  <si>
    <t xml:space="preserve">BSI submissiom 11 February 2026 </t>
  </si>
  <si>
    <t>MDR 768153</t>
  </si>
  <si>
    <t>TD028</t>
  </si>
  <si>
    <t>PSUR027</t>
  </si>
  <si>
    <t>PVP Clinical Grade (1090)</t>
  </si>
  <si>
    <t xml:space="preserve">BSI submissiom 11 February 2026 Combine PSUR027, PSUR028, PSUR200
This report for last year is not yet released,Lets combine PSUR027, PSUR028, PSUR200 for 2025, we need to release 2024. </t>
  </si>
  <si>
    <t>PSUR028</t>
  </si>
  <si>
    <t>PVP Medium (1089)</t>
  </si>
  <si>
    <t>PSUR029</t>
  </si>
  <si>
    <t>Sperm Freezing Medium</t>
  </si>
  <si>
    <t>MDR 768166</t>
  </si>
  <si>
    <t>TD094</t>
  </si>
  <si>
    <t>PSUR030</t>
  </si>
  <si>
    <t>Origio Sperm Preparation Medium (1069/1070)</t>
  </si>
  <si>
    <t>BSI submissiom 09 January 2026 Combine PSUR030, PSUR094, PSUR202
CER deadline 17 March 2026, Combine PSUR030, PSUR094, PSUR202 
Need to align on the data collection period 2 PSURs are Jan to Dec 2024, 1 PSUR is Feb 2024 to Jan 2025</t>
  </si>
  <si>
    <t>MDR 768144</t>
  </si>
  <si>
    <t xml:space="preserve">
TD031</t>
  </si>
  <si>
    <t>PSUR031</t>
  </si>
  <si>
    <t>SpermSlow™ (1094)</t>
  </si>
  <si>
    <t>TBD</t>
  </si>
  <si>
    <t>BSI submission on 08 April 2026</t>
  </si>
  <si>
    <t>MDR 768165</t>
  </si>
  <si>
    <t>TD020</t>
  </si>
  <si>
    <t>PSUR020</t>
  </si>
  <si>
    <t>Flushing Medium with Heparin</t>
  </si>
  <si>
    <t>BSI submissiom 19 December 2026, PSUR020, PSUR023, PSUR032 and PSUR300 are combined in PSUR020</t>
  </si>
  <si>
    <t>MDR 768148</t>
  </si>
  <si>
    <t>TD033</t>
  </si>
  <si>
    <t>PSUR033</t>
  </si>
  <si>
    <t>Universal IVF Medium (1030 &amp; 1031)</t>
  </si>
  <si>
    <t>BSI submissiom 12 November 2026</t>
  </si>
  <si>
    <t>MDR 768150</t>
  </si>
  <si>
    <t>TD034</t>
  </si>
  <si>
    <t>PSUR034</t>
  </si>
  <si>
    <t>UTM™ Transfer Medium (1052/1152)</t>
  </si>
  <si>
    <t>MDR 768167</t>
  </si>
  <si>
    <t>TD035</t>
  </si>
  <si>
    <t>PSUR035</t>
  </si>
  <si>
    <t>ORIGIO® Sequential Blast™</t>
  </si>
  <si>
    <t>BSI submission 23 October 2026, PSUR035 and PSUR204 are combined in PSUR035</t>
  </si>
  <si>
    <t>MDR 768173</t>
  </si>
  <si>
    <t>TD036</t>
  </si>
  <si>
    <t>PSUR036</t>
  </si>
  <si>
    <t>ORIGIO® Sequential Cleav™</t>
  </si>
  <si>
    <t>BSI submissiom 12 November 2026, PSUR036 and PSUR0208 are combined in PSUR036</t>
  </si>
  <si>
    <t>MDR 768172</t>
  </si>
  <si>
    <t>TD037</t>
  </si>
  <si>
    <t>PSUR037</t>
  </si>
  <si>
    <t>ORIGIO® Sequential Fert™</t>
  </si>
  <si>
    <t>BSI submissiom 09 January 2026 Combine PSUR037, PSUR206, PSUR304</t>
  </si>
  <si>
    <t>TD039</t>
  </si>
  <si>
    <t>PSUR039</t>
  </si>
  <si>
    <t>Acidified Tyrodes Solution (1060)</t>
  </si>
  <si>
    <t>none</t>
  </si>
  <si>
    <t>🔴 OVERDUE</t>
  </si>
  <si>
    <t>PSUR023</t>
  </si>
  <si>
    <t>SynVitro Flush with Heparin</t>
  </si>
  <si>
    <t>PSUR032</t>
  </si>
  <si>
    <t>SynVitro Flush (1584)</t>
  </si>
  <si>
    <t>MDR 768184</t>
  </si>
  <si>
    <t>TD045</t>
  </si>
  <si>
    <t>PSUR045</t>
  </si>
  <si>
    <t>ORIGIO® Handling™</t>
  </si>
  <si>
    <t>BSI submissiom 19 December 2026, PSUR214, PSUR045, PSUR310 and PSUR311 are combined in PSUR045</t>
  </si>
  <si>
    <t>MDR 768183</t>
  </si>
  <si>
    <t xml:space="preserve">
TD089</t>
  </si>
  <si>
    <t>PSUR046</t>
  </si>
  <si>
    <t>Sage 1-Step GM-CSF</t>
  </si>
  <si>
    <t xml:space="preserve">
BSI submissiom 28 July 2026, PSUR046, PSUR089, PSUR308 and PSUR309 are combined in PSUR089</t>
  </si>
  <si>
    <t>MDR 768179</t>
  </si>
  <si>
    <t>TD047</t>
  </si>
  <si>
    <t>PSUR047</t>
  </si>
  <si>
    <t>SynVitro® Hyadase</t>
  </si>
  <si>
    <t xml:space="preserve">
MDR 768070</t>
  </si>
  <si>
    <t>TD044</t>
  </si>
  <si>
    <t>PSUR044</t>
  </si>
  <si>
    <t>VitriFit™</t>
  </si>
  <si>
    <t>IIa</t>
  </si>
  <si>
    <t>2 years</t>
  </si>
  <si>
    <t>MDR 768070</t>
  </si>
  <si>
    <t>TD041</t>
  </si>
  <si>
    <t>PSUR041</t>
  </si>
  <si>
    <t>Liquid Paraffin - CHANGE CURRENT REV C TO B AND B TO A</t>
  </si>
  <si>
    <t>Combine in PSUR041</t>
  </si>
  <si>
    <t>PSUR041, PSUR205, PSUR301, PSUR302 and PSUR303 are combined in PSUR041</t>
  </si>
  <si>
    <t>TD087</t>
  </si>
  <si>
    <t>PSUR087</t>
  </si>
  <si>
    <t>LifeGlobal Dishes GPS® Dishware</t>
  </si>
  <si>
    <t>PSUR089</t>
  </si>
  <si>
    <t>SAGE 1-Step</t>
  </si>
  <si>
    <t>MDR 768181</t>
  </si>
  <si>
    <t>TD092</t>
  </si>
  <si>
    <t>PSUR092</t>
  </si>
  <si>
    <t>Medicult Vitrification Cooling, MediCult Vitrification Warming
Sage™ Vitrification Kit (ART-8026), Sage™ Vitrification Warming Kit, Sage ViaBl SuperFast Blastocyst Warming Media (ART-8035)</t>
  </si>
  <si>
    <t>BSI submissiom 19 December 2026, PSUR213 and PSUR092 are combined in PSUR092</t>
  </si>
  <si>
    <t>PSUR094</t>
  </si>
  <si>
    <t>Origio Sperm Wash (8405)</t>
  </si>
  <si>
    <t>MDR 768174</t>
  </si>
  <si>
    <t>TD095</t>
  </si>
  <si>
    <t>PSUR095</t>
  </si>
  <si>
    <t>ORIGIO® Gradient™ 100, ORIGIO® Gradient™ 90 , and ORIGIO® Gradient™ 40/80 / Density gradient product family</t>
  </si>
  <si>
    <t>CER deadline 13 April 2026. BSI submissiom 12 November 2026, PSUR095 and PSUR0209 are combined in PSUR095</t>
  </si>
  <si>
    <t>MDR 768176</t>
  </si>
  <si>
    <t>TD102</t>
  </si>
  <si>
    <t>PSUR102</t>
  </si>
  <si>
    <t>EmbryoGen, BlastGen, EmbryoGen® &amp; BlastGen</t>
  </si>
  <si>
    <t>BSI submissiom 05 January 2026, CER deadline 13 March 2026</t>
  </si>
  <si>
    <t>TD147</t>
  </si>
  <si>
    <t>PSUR147</t>
  </si>
  <si>
    <t>Global Total and Global HP</t>
  </si>
  <si>
    <t>Media(NON CE-MARKED)</t>
  </si>
  <si>
    <t>TD148</t>
  </si>
  <si>
    <t>PSUR148</t>
  </si>
  <si>
    <t>Global Total Fert</t>
  </si>
  <si>
    <t>TD149</t>
  </si>
  <si>
    <t>PSUR149</t>
  </si>
  <si>
    <t>Global Total™ with HEPES, 50mL, 100mL HTF w/ HEPES, 100 mL, 500 mL Washing mHTF with HEPES &amp; Phenol Red, 100mL, 500mL</t>
  </si>
  <si>
    <t>TD150</t>
  </si>
  <si>
    <t>PSUR150</t>
  </si>
  <si>
    <t>LifeGlobal™ Protein Supplement, 20mL LifeGlobal™ Protein Supplement, 50mL LifeGlobal™ Protein Supplement, 6 x 5mL Quinn's Advantage™ SPS  Serum Protein Substitute 100 ml Quinn's Advantage™ SPS Serum Protein Substitute Kit, 12 x 12mL</t>
  </si>
  <si>
    <t>TD151</t>
  </si>
  <si>
    <t>PSUR151</t>
  </si>
  <si>
    <t>Hyaluronidase, 6 x 1 ml</t>
  </si>
  <si>
    <t>PSUR200</t>
  </si>
  <si>
    <t>PVP™ 7% Ready to Use Solution Kit (ART-4005-A)</t>
  </si>
  <si>
    <t>PSUR201</t>
  </si>
  <si>
    <t>Quinn's Advantage™ Sperm Freezing Medium</t>
  </si>
  <si>
    <t>PSUR202</t>
  </si>
  <si>
    <t>Quinn's Sperm Washing Medium</t>
  </si>
  <si>
    <t>⚪ TBD</t>
  </si>
  <si>
    <t>PSUR204</t>
  </si>
  <si>
    <t>Quinn’s Advantage™ Blastocyst Medium (ART-1029)</t>
  </si>
  <si>
    <t>BSI submissiom 23 October 2026, PSUR035 and PSUR204 are combined in PSUR035</t>
  </si>
  <si>
    <t>PSUR205</t>
  </si>
  <si>
    <t>Oil for tissue Culture</t>
  </si>
  <si>
    <t>PSUR208</t>
  </si>
  <si>
    <t>Quinn’s Advantage™ Cleavage Medium</t>
  </si>
  <si>
    <t>PSUR209</t>
  </si>
  <si>
    <t>PureCeption 24-determination Kit, 40% Upper Phase, 80% Lower Phase, 100% Isotonic Solution</t>
  </si>
  <si>
    <t>MDR 768180</t>
  </si>
  <si>
    <t>TD114</t>
  </si>
  <si>
    <t>PSUR212</t>
  </si>
  <si>
    <t>Human Serum Albumin (ART-3001) (ART-3003)
HSA 12 x 5 ml (GHSA-125)</t>
  </si>
  <si>
    <t>BSI submissiom 08 April 2026, PSUR212 and PSUR306 are addressed in PSUR212
3-6-26 Currently in Stakeholder Review</t>
  </si>
  <si>
    <t>PSUR213</t>
  </si>
  <si>
    <t>Sage™ Vitrification Kit (ART-8026), Sage™ Vitrification Warming Kit, Sage ViaBl SuperFast Blastocyst Warming Media (ART-8035)</t>
  </si>
  <si>
    <t>PSUR214</t>
  </si>
  <si>
    <t>Quinn's Advantage Medium with HEPES</t>
  </si>
  <si>
    <t>MDR 768186</t>
  </si>
  <si>
    <t>TD117</t>
  </si>
  <si>
    <t>PSUR215</t>
  </si>
  <si>
    <t>Quinn's Advantage™ Thaw Kit</t>
  </si>
  <si>
    <t>BSI submissiom 18 May 2026, Writed to check to combine 2024 and 2025</t>
  </si>
  <si>
    <t>PSUR300</t>
  </si>
  <si>
    <t>LG global collect</t>
  </si>
  <si>
    <t>PSUR301</t>
  </si>
  <si>
    <t>LifeGuard® Oil</t>
  </si>
  <si>
    <t>PSUR302</t>
  </si>
  <si>
    <t>LiteOil®</t>
  </si>
  <si>
    <t>PSUR303</t>
  </si>
  <si>
    <t>Paraffin Oil P.G.</t>
  </si>
  <si>
    <t>PSUR306</t>
  </si>
  <si>
    <t>HSA 12 x 5 ml (GHSA-125)</t>
  </si>
  <si>
    <t>BSI submissiom 08 April 2026, PSUR212 and PSUR306 are addressed in PSUR212</t>
  </si>
  <si>
    <t>PSUR308</t>
  </si>
  <si>
    <t>LG Global</t>
  </si>
  <si>
    <t>PSUR309</t>
  </si>
  <si>
    <t>LG global total LP</t>
  </si>
  <si>
    <t>PSUR310</t>
  </si>
  <si>
    <t>LG global total LP w/ HEPES</t>
  </si>
  <si>
    <t>PSUR311</t>
  </si>
  <si>
    <t>LG global w/ HEPES</t>
  </si>
  <si>
    <t>Writer</t>
  </si>
  <si>
    <t>TD002</t>
  </si>
  <si>
    <t>PMS002R</t>
  </si>
  <si>
    <t>Leisegang Coloscopes</t>
  </si>
  <si>
    <t>I</t>
  </si>
  <si>
    <t>Medical Device</t>
  </si>
  <si>
    <t>2021-01-01</t>
  </si>
  <si>
    <t>2025-12-31</t>
  </si>
  <si>
    <t>3 years</t>
  </si>
  <si>
    <t>Terence</t>
  </si>
  <si>
    <t>TD003</t>
  </si>
  <si>
    <t>PMS003R</t>
  </si>
  <si>
    <t>Ally Uterine Positioning System</t>
  </si>
  <si>
    <t>2023-01-01</t>
  </si>
  <si>
    <t>2026-01-15</t>
  </si>
  <si>
    <t>In Review</t>
  </si>
  <si>
    <t>Determining the denominator</t>
  </si>
  <si>
    <t>TD005</t>
  </si>
  <si>
    <t>PMS005R</t>
  </si>
  <si>
    <t>RI Syringes</t>
  </si>
  <si>
    <t>Fertility</t>
  </si>
  <si>
    <t>2021-06-01</t>
  </si>
  <si>
    <t>2026-05-31</t>
  </si>
  <si>
    <t>2026-06-06</t>
  </si>
  <si>
    <t>Assigned</t>
  </si>
  <si>
    <t>Harish</t>
  </si>
  <si>
    <t>TD050</t>
  </si>
  <si>
    <t>PSUR050</t>
  </si>
  <si>
    <t>RI Witness EHP</t>
  </si>
  <si>
    <t>Jeff</t>
  </si>
  <si>
    <t>In draft, need to release
3-6-26 Awaiting Sales/complaint data, updating to new template</t>
  </si>
  <si>
    <t>TD007</t>
  </si>
  <si>
    <t>PMS007R</t>
  </si>
  <si>
    <t>Retractors</t>
  </si>
  <si>
    <t>Is</t>
  </si>
  <si>
    <t>Combine with PSUR007</t>
  </si>
  <si>
    <t>TD008</t>
  </si>
  <si>
    <t>PMS008R</t>
  </si>
  <si>
    <t>Endosee Hysteroscopy Product Family</t>
  </si>
  <si>
    <t>2021-01-28</t>
  </si>
  <si>
    <t>2025-05-30</t>
  </si>
  <si>
    <t>2026-03-01</t>
  </si>
  <si>
    <t>TD009</t>
  </si>
  <si>
    <t>PMS009R</t>
  </si>
  <si>
    <t>Comfit Trake - Nofit, NEO-prep</t>
  </si>
  <si>
    <t>TD062</t>
  </si>
  <si>
    <t>PMS062R</t>
  </si>
  <si>
    <t>Endometrial_Suction_Curette</t>
  </si>
  <si>
    <t/>
  </si>
  <si>
    <t>Immediate</t>
  </si>
  <si>
    <t>No available documents released in MC</t>
  </si>
  <si>
    <t>TD123</t>
  </si>
  <si>
    <t>PMS123R</t>
  </si>
  <si>
    <t>K-Systems Flex Short-term Incubator Module</t>
  </si>
  <si>
    <t>Terence will be conforming</t>
  </si>
  <si>
    <t>TD124</t>
  </si>
  <si>
    <t>PMS124R</t>
  </si>
  <si>
    <t>Embryo Biopsy Kit</t>
  </si>
  <si>
    <t>TD125</t>
  </si>
  <si>
    <t>PMS125R</t>
  </si>
  <si>
    <t>Endometrial Biopsy Kit</t>
  </si>
  <si>
    <t>TD017</t>
  </si>
  <si>
    <t>PMSR017</t>
  </si>
  <si>
    <t>EZ-Grip &amp; Comfort Rest</t>
  </si>
  <si>
    <t>2026-01-14</t>
  </si>
  <si>
    <t>2026-01-23</t>
  </si>
  <si>
    <t>Need to check with Terence</t>
  </si>
  <si>
    <t>PSUR007</t>
  </si>
  <si>
    <t>LoneStar Retractor Kit</t>
  </si>
  <si>
    <t>TD016</t>
  </si>
  <si>
    <t>PSUR016</t>
  </si>
  <si>
    <t>PICSI® Sperm Selection Device</t>
  </si>
  <si>
    <t>TD018</t>
  </si>
  <si>
    <t>PSUR018</t>
  </si>
  <si>
    <t>LEEP ELECTRODES</t>
  </si>
  <si>
    <t>IIb</t>
  </si>
  <si>
    <t>TD071</t>
  </si>
  <si>
    <t>PSUR071</t>
  </si>
  <si>
    <t>Mobius Elastic Retractors</t>
  </si>
  <si>
    <t>Sales data request issued 3-24-26</t>
  </si>
  <si>
    <t>Venkata</t>
  </si>
  <si>
    <t>TD083</t>
  </si>
  <si>
    <t>PSUR083</t>
  </si>
  <si>
    <t>LifeDop Dopplers and Probes</t>
  </si>
  <si>
    <t>TD048</t>
  </si>
  <si>
    <t>PSUR048</t>
  </si>
  <si>
    <t>Integra 3 Micromanipulator</t>
  </si>
  <si>
    <t>TD049</t>
  </si>
  <si>
    <t>PSUR049</t>
  </si>
  <si>
    <t>Saturn 5 Laser System</t>
  </si>
  <si>
    <t>CER deadline 02 March 2026</t>
  </si>
  <si>
    <t>TD051</t>
  </si>
  <si>
    <t>PSUR051</t>
  </si>
  <si>
    <t>EZ-Range Pipettes</t>
  </si>
  <si>
    <t>MDR 768190</t>
  </si>
  <si>
    <t>TD053</t>
  </si>
  <si>
    <t>PSUR053</t>
  </si>
  <si>
    <t>INSORB Skin Stapler and Forceps</t>
  </si>
  <si>
    <t>BSI submission on 17 May 2026</t>
  </si>
  <si>
    <t>TD058</t>
  </si>
  <si>
    <t>PSUR058</t>
  </si>
  <si>
    <t>Apple-Hunt Trocars</t>
  </si>
  <si>
    <t>TD060</t>
  </si>
  <si>
    <t>PSUR060</t>
  </si>
  <si>
    <t>Carter-Thomason Port Closure Products</t>
  </si>
  <si>
    <t>PSUR062</t>
  </si>
  <si>
    <t>Endometrial Suction Curette Product Family</t>
  </si>
  <si>
    <t>4/11/2026 - Immediate</t>
  </si>
  <si>
    <t>TD069</t>
  </si>
  <si>
    <t>PSUR069</t>
  </si>
  <si>
    <t>Lone Star Elastic Stays</t>
  </si>
  <si>
    <t>TD070</t>
  </si>
  <si>
    <t>PSUR070</t>
  </si>
  <si>
    <t>Medical Heatpacks</t>
  </si>
  <si>
    <t>PSUR068</t>
  </si>
  <si>
    <t>Wallace Aspiration Pump</t>
  </si>
  <si>
    <t>04/30/2026 - Immediate</t>
  </si>
  <si>
    <t>TD073</t>
  </si>
  <si>
    <t>PSUR073</t>
  </si>
  <si>
    <t>IVF PASTEUR PIPETTES</t>
  </si>
  <si>
    <t>TD076</t>
  </si>
  <si>
    <t>PSUR076</t>
  </si>
  <si>
    <t>Vacuum Assisted Delivery System</t>
  </si>
  <si>
    <t>Updated the PSUR early for BSI surveillance audit</t>
  </si>
  <si>
    <t>TD077</t>
  </si>
  <si>
    <t>PSUR077</t>
  </si>
  <si>
    <t>Wallace Oocyte Recovery/Collection Sets</t>
  </si>
  <si>
    <t>Routing in MC</t>
  </si>
  <si>
    <t>TD081</t>
  </si>
  <si>
    <t>PSUR081</t>
  </si>
  <si>
    <t>Fischer cone Biopsy Electrodes</t>
  </si>
  <si>
    <t>TD082</t>
  </si>
  <si>
    <t>PSUR082</t>
  </si>
  <si>
    <t>Pessary Product Family</t>
  </si>
  <si>
    <t>Adult-Neonatal_Care</t>
  </si>
  <si>
    <t>2026-01-03</t>
  </si>
  <si>
    <t>TD059</t>
  </si>
  <si>
    <t>PSUR059</t>
  </si>
  <si>
    <t>Assisted Reproduction Catheters</t>
  </si>
  <si>
    <t>4/30/2026 - Immediate</t>
  </si>
  <si>
    <t>TD103</t>
  </si>
  <si>
    <t>PSUR103</t>
  </si>
  <si>
    <t>Micropipettes, Biopsy, ICISI_x000D__x000D__x000D_
Assisted Hatching (Mechanical and Chemical)_x000D__x000D__x000D_
Holding</t>
  </si>
  <si>
    <t>2/20/2026 - Immediate</t>
  </si>
  <si>
    <t>CER deadline 19 January 2026</t>
  </si>
  <si>
    <t>TD104</t>
  </si>
  <si>
    <t>PSUR104</t>
  </si>
  <si>
    <t xml:space="preserve"> HBA Biocoat</t>
  </si>
  <si>
    <t>TD105</t>
  </si>
  <si>
    <t>PSUR105</t>
  </si>
  <si>
    <t>Stripper Tips</t>
  </si>
  <si>
    <t>IIB</t>
  </si>
  <si>
    <t>TD118</t>
  </si>
  <si>
    <t>PSUR118</t>
  </si>
  <si>
    <t>OBP AnoSpec Lighted Anoscopes</t>
  </si>
  <si>
    <t>03/27/2026 - Immediate</t>
  </si>
  <si>
    <t>No documents available in MC</t>
  </si>
  <si>
    <t>TD121</t>
  </si>
  <si>
    <t>PSUR121</t>
  </si>
  <si>
    <t>Disposable Vaginal Speculums</t>
  </si>
  <si>
    <t>3/24/2026 - Immediate</t>
  </si>
  <si>
    <t>TD122</t>
  </si>
  <si>
    <t>PSUR122</t>
  </si>
  <si>
    <t>Lighted Endoscopic Products</t>
  </si>
  <si>
    <t>3/27/2026 - Immediate</t>
  </si>
  <si>
    <t>TD129</t>
  </si>
  <si>
    <t>PSUR129</t>
  </si>
  <si>
    <t>Cook Doppler blood flow monitor products</t>
  </si>
  <si>
    <t>TD130</t>
  </si>
  <si>
    <t>PSUR130</t>
  </si>
  <si>
    <t>TD130 Bakri Postpartum Balloon</t>
  </si>
  <si>
    <t>TD131</t>
  </si>
  <si>
    <t>PSUR131</t>
  </si>
  <si>
    <t>TD131_Cervical Ripening Balloon (CRB) Products</t>
  </si>
  <si>
    <t>TD144</t>
  </si>
  <si>
    <t>PSUR144</t>
  </si>
  <si>
    <t>ONETRAC &amp; ONETRAC LX</t>
  </si>
  <si>
    <t>2/27/2026 - Immediate</t>
  </si>
  <si>
    <t>Per Jennifer tracking file need to reach out to Nancy Lynch</t>
  </si>
  <si>
    <t>PSUR145</t>
  </si>
  <si>
    <t>Unknown</t>
  </si>
  <si>
    <t xml:space="preserve">Terence </t>
  </si>
  <si>
    <t>👤  WRITER WORKLOAD TRACKER</t>
  </si>
  <si>
    <t>Total Assigned</t>
  </si>
  <si>
    <t>In Progress</t>
  </si>
  <si>
    <t>Overdue</t>
  </si>
  <si>
    <t>Completion Rate</t>
  </si>
  <si>
    <t>Avg Days Left</t>
  </si>
  <si>
    <t>Earliest Due</t>
  </si>
  <si>
    <t>Risk Level</t>
  </si>
  <si>
    <t>TOTAL</t>
  </si>
  <si>
    <t>📝 DETAILED ASSIGNMENTS BY WRITER (Live-linked to Master Schedule)</t>
  </si>
  <si>
    <t>PSUR ID</t>
  </si>
  <si>
    <t>Days Left</t>
  </si>
  <si>
    <t>📅  PSUR TIMELINE  —  Q1 &amp; Q2 2026 GANTT VIEW</t>
  </si>
  <si>
    <t>Jan 1H</t>
  </si>
  <si>
    <t>Jan 2H</t>
  </si>
  <si>
    <t>Feb 1H</t>
  </si>
  <si>
    <t>Feb 2H</t>
  </si>
  <si>
    <t>Mar 1H</t>
  </si>
  <si>
    <t>Mar 2H</t>
  </si>
  <si>
    <t>Apr 1H</t>
  </si>
  <si>
    <t>Apr 2H</t>
  </si>
  <si>
    <t>May 1H</t>
  </si>
  <si>
    <t>May 2H</t>
  </si>
  <si>
    <t>Jun 1H</t>
  </si>
  <si>
    <t>Jun 2H</t>
  </si>
  <si>
    <t>Jul+</t>
  </si>
  <si>
    <t>LEGEND:</t>
  </si>
  <si>
    <t>█ Completed</t>
  </si>
  <si>
    <t>█ In Progress</t>
  </si>
  <si>
    <t>█ Not Started</t>
  </si>
  <si>
    <t>█ TBD</t>
  </si>
  <si>
    <t>Today:</t>
  </si>
  <si>
    <t>Total PSURs:</t>
  </si>
  <si>
    <t>📊  PSUR SCHEDULE DASHBOARD  —  Q1 &amp; Q2 2026</t>
  </si>
  <si>
    <t>KEY PERFORMANCE INDICATORS</t>
  </si>
  <si>
    <t>Total PSURs</t>
  </si>
  <si>
    <t>Overall Progress</t>
  </si>
  <si>
    <t>📊 STATUS BREAKDOWN</t>
  </si>
  <si>
    <t>👤 WRITER WORKLOAD</t>
  </si>
  <si>
    <t>📅 QUARTERLY VIEW</t>
  </si>
  <si>
    <t>Count</t>
  </si>
  <si>
    <t>% of Total</t>
  </si>
  <si>
    <t>Total</t>
  </si>
  <si>
    <t>% Done</t>
  </si>
  <si>
    <t>Other</t>
  </si>
  <si>
    <t>🎯 DEVICE CLASS BREAKDOWN</t>
  </si>
  <si>
    <t>⚡ PRIORITY BREAKDOWN</t>
  </si>
  <si>
    <t>⏰ NEXT 30 DAYS - CRITICAL DEADLINES</t>
  </si>
  <si>
    <t>Metric</t>
  </si>
  <si>
    <t>Class III</t>
  </si>
  <si>
    <t>Due in 7 days</t>
  </si>
  <si>
    <t>Class IIb</t>
  </si>
  <si>
    <t>Due in 14 days</t>
  </si>
  <si>
    <t>Class IIa</t>
  </si>
  <si>
    <t>Due in 30 days</t>
  </si>
  <si>
    <t>Class I / Is</t>
  </si>
  <si>
    <t>Currently Overdue</t>
  </si>
  <si>
    <t>Avg Days to Deadline</t>
  </si>
  <si>
    <t>📈 STATUS DISTRIBUTION</t>
  </si>
  <si>
    <t>📊 WRITER WORKLOAD</t>
  </si>
  <si>
    <t>⚡ PRIORITY DISTRIBUTION</t>
  </si>
  <si>
    <t>OVERDUE</t>
  </si>
  <si>
    <t>URGENT</t>
  </si>
  <si>
    <t>SOON</t>
  </si>
  <si>
    <t>ON TRACK</t>
  </si>
  <si>
    <t>DONE</t>
  </si>
  <si>
    <t>⏱️ Dashboard auto-updates when you change Status, Due Date, or Writer on the 'Maintenance PSURs' and 'BSI PSURs' sheets</t>
  </si>
  <si>
    <t>📊  BSI PSUR DASHBOARD  —  Q1 &amp; Q2 2026</t>
  </si>
  <si>
    <t>⏱️ Dashboard auto-updates when you change Status, Due Date, or Writer on the 'BSI PSURs' sheet</t>
  </si>
  <si>
    <t>Total BSI Certificates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</si>
</sst>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\-yy;@"/>
    <numFmt numFmtId="165" formatCode="0&quot;%&quot;"/>
    <numFmt numFmtId="166" formatCode="0.0%"/>
    <numFmt numFmtId="167" formatCode="mm/dd/yyyy"/>
  </numFmts>
  <fonts count="4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2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10"/>
      <color rgb="FFFFC000"/>
      <name val="Calibri"/>
      <family val="2"/>
      <scheme val="minor"/>
    </font>
    <font>
      <b/>
      <sz val="10"/>
      <color rgb="FFFF4444"/>
      <name val="Calibri"/>
      <family val="2"/>
      <scheme val="minor"/>
    </font>
    <font>
      <b/>
      <sz val="10"/>
      <color rgb="FFBFBFBF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1B3A5C"/>
      <name val="Calibri"/>
      <family val="2"/>
      <scheme val="minor"/>
    </font>
    <font>
      <b/>
      <sz val="24"/>
      <color rgb="FF2C5F8A"/>
      <name val="Calibri"/>
      <family val="2"/>
      <scheme val="minor"/>
    </font>
    <font>
      <b/>
      <sz val="24"/>
      <color rgb="FF2E7D32"/>
      <name val="Calibri"/>
      <family val="2"/>
      <scheme val="minor"/>
    </font>
    <font>
      <b/>
      <sz val="24"/>
      <color rgb="FFE65100"/>
      <name val="Calibri"/>
      <family val="2"/>
      <scheme val="minor"/>
    </font>
    <font>
      <b/>
      <sz val="24"/>
      <color rgb="FFC62828"/>
      <name val="Calibri"/>
      <family val="2"/>
      <scheme val="minor"/>
    </font>
    <font>
      <b/>
      <sz val="24"/>
      <color rgb="FFB71C1C"/>
      <name val="Calibri"/>
      <family val="2"/>
      <scheme val="minor"/>
    </font>
    <font>
      <b/>
      <sz val="24"/>
      <color rgb="FF6A1B9A"/>
      <name val="Calibri"/>
      <family val="2"/>
      <scheme val="minor"/>
    </font>
    <font>
      <b/>
      <sz val="10"/>
      <color rgb="FF1B3A5C"/>
      <name val="Calibri"/>
      <family val="2"/>
      <scheme val="minor"/>
    </font>
    <font>
      <i/>
      <sz val="9"/>
      <color rgb="FF757575"/>
      <name val="Calibri"/>
      <family val="2"/>
      <scheme val="minor"/>
    </font>
    <font>
      <sz val="8"/>
      <color rgb="FF999999"/>
      <name val="Calibri"/>
      <family val="2"/>
      <scheme val="minor"/>
    </font>
    <font>
      <sz val="8"/>
      <color rgb="FF9C0006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8"/>
      <color rgb="FF0061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9C6500"/>
      <name val="Calibri"/>
      <family val="2"/>
      <scheme val="minor"/>
    </font>
    <font>
      <b/>
      <sz val="8"/>
      <color rgb="FF333333"/>
      <name val="Calibri"/>
      <family val="2"/>
      <scheme val="minor"/>
    </font>
    <font>
      <b/>
      <sz val="8"/>
      <color rgb="FF00610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2"/>
      <color rgb="FF666666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C"/>
        <bgColor indexed="64"/>
      </patternFill>
    </fill>
    <fill>
      <patternFill patternType="solid">
        <fgColor rgb="FFF2E5F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7F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2C5F8A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6A1B9A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4444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A58203"/>
        <bgColor indexed="64"/>
      </patternFill>
    </fill>
    <fill>
      <patternFill patternType="solid">
        <fgColor rgb="FF28A745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BDD7EE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/>
      <diagonal/>
    </border>
    <border>
      <left/>
      <right/>
      <top style="medium">
        <color rgb="FF1B3A5C"/>
      </top>
      <bottom/>
      <diagonal/>
    </border>
    <border>
      <left/>
      <right/>
      <top/>
      <bottom style="medium">
        <color rgb="FF1B3A5C"/>
      </bottom>
      <diagonal/>
    </border>
    <border>
      <left style="medium">
        <color rgb="FF1B3A5C"/>
      </left>
      <right/>
      <top style="medium">
        <color rgb="FF1B3A5C"/>
      </top>
      <bottom/>
      <diagonal/>
    </border>
    <border>
      <left style="medium">
        <color rgb="FF1B3A5C"/>
      </left>
      <right/>
      <top/>
      <bottom/>
      <diagonal/>
    </border>
    <border>
      <left style="medium">
        <color rgb="FF1B3A5C"/>
      </left>
      <right/>
      <top/>
      <bottom style="medium">
        <color rgb="FF1B3A5C"/>
      </bottom>
      <diagonal/>
    </border>
    <border>
      <left/>
      <right style="medium">
        <color rgb="FF1B3A5C"/>
      </right>
      <top style="medium">
        <color rgb="FF1B3A5C"/>
      </top>
      <bottom/>
      <diagonal/>
    </border>
    <border>
      <left/>
      <right style="medium">
        <color rgb="FF1B3A5C"/>
      </right>
      <top/>
      <bottom/>
      <diagonal/>
    </border>
    <border>
      <left/>
      <right style="medium">
        <color rgb="FF1B3A5C"/>
      </right>
      <top/>
      <bottom style="medium">
        <color rgb="FF1B3A5C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7" fontId="6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167" fontId="2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167" fontId="1" fillId="0" borderId="1" xfId="0" applyNumberFormat="1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66" fontId="2" fillId="6" borderId="1" xfId="0" applyNumberFormat="1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166" fontId="1" fillId="15" borderId="1" xfId="0" applyNumberFormat="1" applyFont="1" applyFill="1" applyBorder="1" applyAlignment="1">
      <alignment horizontal="center"/>
    </xf>
    <xf numFmtId="167" fontId="1" fillId="15" borderId="1" xfId="0" applyNumberFormat="1" applyFont="1" applyFill="1" applyBorder="1" applyAlignment="1">
      <alignment horizontal="center"/>
    </xf>
    <xf numFmtId="166" fontId="1" fillId="9" borderId="1" xfId="0" applyNumberFormat="1" applyFont="1" applyFill="1" applyBorder="1" applyAlignment="1">
      <alignment horizontal="center"/>
    </xf>
    <xf numFmtId="167" fontId="1" fillId="9" borderId="1" xfId="0" applyNumberFormat="1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8" fillId="14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167" fontId="9" fillId="0" borderId="8" xfId="0" applyNumberFormat="1" applyFont="1" applyBorder="1" applyAlignment="1">
      <alignment horizontal="center"/>
    </xf>
    <xf numFmtId="1" fontId="9" fillId="0" borderId="8" xfId="0" applyNumberFormat="1" applyFont="1" applyBorder="1" applyAlignment="1">
      <alignment horizontal="center"/>
    </xf>
    <xf numFmtId="0" fontId="9" fillId="16" borderId="8" xfId="0" applyFont="1" applyFill="1" applyBorder="1" applyAlignment="1">
      <alignment horizontal="center"/>
    </xf>
    <xf numFmtId="167" fontId="9" fillId="16" borderId="8" xfId="0" applyNumberFormat="1" applyFont="1" applyFill="1" applyBorder="1" applyAlignment="1">
      <alignment horizontal="center"/>
    </xf>
    <xf numFmtId="1" fontId="9" fillId="16" borderId="8" xfId="0" applyNumberFormat="1" applyFont="1" applyFill="1" applyBorder="1" applyAlignment="1">
      <alignment horizontal="center"/>
    </xf>
    <xf numFmtId="0" fontId="9" fillId="16" borderId="9" xfId="0" applyFont="1" applyFill="1" applyBorder="1" applyAlignment="1">
      <alignment horizontal="center"/>
    </xf>
    <xf numFmtId="167" fontId="9" fillId="16" borderId="9" xfId="0" applyNumberFormat="1" applyFont="1" applyFill="1" applyBorder="1" applyAlignment="1">
      <alignment horizontal="center"/>
    </xf>
    <xf numFmtId="1" fontId="9" fillId="16" borderId="9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4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 wrapText="1"/>
    </xf>
    <xf numFmtId="1" fontId="15" fillId="0" borderId="4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165" fontId="15" fillId="0" borderId="4" xfId="0" applyNumberFormat="1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165" fontId="15" fillId="0" borderId="1" xfId="0" applyNumberFormat="1" applyFont="1" applyBorder="1" applyAlignment="1">
      <alignment horizontal="center" vertical="center"/>
    </xf>
    <xf numFmtId="1" fontId="15" fillId="0" borderId="1" xfId="0" applyNumberFormat="1" applyFont="1" applyBorder="1" applyAlignment="1">
      <alignment horizontal="center" vertical="center"/>
    </xf>
    <xf numFmtId="0" fontId="0" fillId="20" borderId="0" xfId="0" applyFill="1"/>
    <xf numFmtId="0" fontId="26" fillId="6" borderId="0" xfId="0" applyFont="1" applyFill="1" applyAlignment="1">
      <alignment horizontal="center"/>
    </xf>
    <xf numFmtId="0" fontId="0" fillId="18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5" borderId="11" xfId="0" applyFill="1" applyBorder="1" applyAlignment="1">
      <alignment horizontal="center"/>
    </xf>
    <xf numFmtId="0" fontId="26" fillId="6" borderId="13" xfId="0" applyFont="1" applyFill="1" applyBorder="1" applyAlignment="1">
      <alignment horizontal="center"/>
    </xf>
    <xf numFmtId="0" fontId="0" fillId="18" borderId="13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0" fillId="15" borderId="14" xfId="0" applyFill="1" applyBorder="1" applyAlignment="1">
      <alignment horizontal="center"/>
    </xf>
    <xf numFmtId="0" fontId="26" fillId="6" borderId="16" xfId="0" applyFont="1" applyFill="1" applyBorder="1" applyAlignment="1">
      <alignment horizontal="center"/>
    </xf>
    <xf numFmtId="166" fontId="0" fillId="18" borderId="16" xfId="0" applyNumberFormat="1" applyFill="1" applyBorder="1" applyAlignment="1">
      <alignment horizontal="center"/>
    </xf>
    <xf numFmtId="166" fontId="0" fillId="15" borderId="16" xfId="0" applyNumberFormat="1" applyFill="1" applyBorder="1" applyAlignment="1">
      <alignment horizontal="center"/>
    </xf>
    <xf numFmtId="166" fontId="0" fillId="15" borderId="17" xfId="0" applyNumberFormat="1" applyFill="1" applyBorder="1" applyAlignment="1">
      <alignment horizontal="center"/>
    </xf>
    <xf numFmtId="0" fontId="18" fillId="6" borderId="11" xfId="0" applyFont="1" applyFill="1" applyBorder="1" applyAlignment="1">
      <alignment horizontal="center"/>
    </xf>
    <xf numFmtId="0" fontId="18" fillId="6" borderId="14" xfId="0" applyFont="1" applyFill="1" applyBorder="1" applyAlignment="1">
      <alignment horizontal="center"/>
    </xf>
    <xf numFmtId="166" fontId="18" fillId="6" borderId="17" xfId="0" applyNumberFormat="1" applyFont="1" applyFill="1" applyBorder="1" applyAlignment="1">
      <alignment horizontal="center"/>
    </xf>
    <xf numFmtId="0" fontId="0" fillId="18" borderId="11" xfId="0" applyFill="1" applyBorder="1" applyAlignment="1">
      <alignment horizontal="center"/>
    </xf>
    <xf numFmtId="0" fontId="0" fillId="18" borderId="14" xfId="0" applyFill="1" applyBorder="1" applyAlignment="1">
      <alignment horizontal="center"/>
    </xf>
    <xf numFmtId="166" fontId="0" fillId="18" borderId="17" xfId="0" applyNumberFormat="1" applyFill="1" applyBorder="1" applyAlignment="1">
      <alignment horizontal="center"/>
    </xf>
    <xf numFmtId="0" fontId="0" fillId="6" borderId="0" xfId="0" applyFill="1"/>
    <xf numFmtId="0" fontId="0" fillId="20" borderId="0" xfId="0" applyFill="1" applyAlignment="1">
      <alignment horizontal="center"/>
    </xf>
    <xf numFmtId="0" fontId="0" fillId="20" borderId="11" xfId="0" applyFill="1" applyBorder="1" applyAlignment="1">
      <alignment horizontal="center"/>
    </xf>
    <xf numFmtId="0" fontId="18" fillId="19" borderId="13" xfId="0" applyFont="1" applyFill="1" applyBorder="1" applyAlignment="1">
      <alignment horizontal="center"/>
    </xf>
    <xf numFmtId="0" fontId="18" fillId="29" borderId="13" xfId="0" applyFont="1" applyFill="1" applyBorder="1" applyAlignment="1">
      <alignment horizontal="center"/>
    </xf>
    <xf numFmtId="0" fontId="18" fillId="30" borderId="13" xfId="0" applyFont="1" applyFill="1" applyBorder="1" applyAlignment="1">
      <alignment horizontal="center"/>
    </xf>
    <xf numFmtId="0" fontId="18" fillId="31" borderId="14" xfId="0" applyFont="1" applyFill="1" applyBorder="1" applyAlignment="1">
      <alignment horizontal="center"/>
    </xf>
    <xf numFmtId="0" fontId="0" fillId="6" borderId="16" xfId="0" applyFill="1" applyBorder="1"/>
    <xf numFmtId="0" fontId="0" fillId="20" borderId="16" xfId="0" applyFill="1" applyBorder="1" applyAlignment="1">
      <alignment horizontal="center"/>
    </xf>
    <xf numFmtId="0" fontId="0" fillId="20" borderId="17" xfId="0" applyFill="1" applyBorder="1" applyAlignment="1">
      <alignment horizontal="center"/>
    </xf>
    <xf numFmtId="0" fontId="28" fillId="20" borderId="0" xfId="0" applyFont="1" applyFill="1"/>
    <xf numFmtId="0" fontId="28" fillId="0" borderId="0" xfId="0" applyFont="1"/>
    <xf numFmtId="0" fontId="0" fillId="18" borderId="16" xfId="0" applyFill="1" applyBorder="1" applyAlignment="1">
      <alignment horizontal="center"/>
    </xf>
    <xf numFmtId="0" fontId="0" fillId="15" borderId="16" xfId="0" applyFill="1" applyBorder="1" applyAlignment="1">
      <alignment horizontal="center"/>
    </xf>
    <xf numFmtId="0" fontId="18" fillId="6" borderId="17" xfId="0" applyFont="1" applyFill="1" applyBorder="1" applyAlignment="1">
      <alignment horizontal="center"/>
    </xf>
    <xf numFmtId="1" fontId="18" fillId="19" borderId="0" xfId="0" applyNumberFormat="1" applyFont="1" applyFill="1" applyAlignment="1">
      <alignment horizontal="center"/>
    </xf>
    <xf numFmtId="1" fontId="18" fillId="29" borderId="0" xfId="0" applyNumberFormat="1" applyFont="1" applyFill="1" applyAlignment="1">
      <alignment horizontal="center"/>
    </xf>
    <xf numFmtId="1" fontId="18" fillId="30" borderId="0" xfId="0" applyNumberFormat="1" applyFont="1" applyFill="1" applyAlignment="1">
      <alignment horizontal="center"/>
    </xf>
    <xf numFmtId="1" fontId="18" fillId="31" borderId="11" xfId="0" applyNumberFormat="1" applyFont="1" applyFill="1" applyBorder="1" applyAlignment="1">
      <alignment horizontal="center"/>
    </xf>
    <xf numFmtId="0" fontId="15" fillId="38" borderId="1" xfId="0" applyFont="1" applyFill="1" applyBorder="1" applyAlignment="1">
      <alignment horizontal="center" vertical="center"/>
    </xf>
    <xf numFmtId="0" fontId="33" fillId="0" borderId="28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14" fontId="33" fillId="0" borderId="28" xfId="0" applyNumberFormat="1" applyFont="1" applyBorder="1" applyAlignment="1">
      <alignment horizontal="center" vertical="center"/>
    </xf>
    <xf numFmtId="14" fontId="33" fillId="0" borderId="30" xfId="0" applyNumberFormat="1" applyFont="1" applyBorder="1" applyAlignment="1">
      <alignment horizontal="center" vertical="center"/>
    </xf>
    <xf numFmtId="1" fontId="0" fillId="18" borderId="0" xfId="0" applyNumberFormat="1" applyFill="1" applyAlignment="1">
      <alignment horizontal="center"/>
    </xf>
    <xf numFmtId="0" fontId="17" fillId="4" borderId="25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3" fillId="0" borderId="25" xfId="0" applyFont="1" applyBorder="1" applyAlignment="1">
      <alignment horizontal="center" vertical="center"/>
    </xf>
    <xf numFmtId="14" fontId="33" fillId="0" borderId="25" xfId="0" applyNumberFormat="1" applyFont="1" applyBorder="1" applyAlignment="1">
      <alignment horizontal="center" vertical="center"/>
    </xf>
    <xf numFmtId="0" fontId="29" fillId="32" borderId="25" xfId="0" applyFont="1" applyFill="1" applyBorder="1" applyAlignment="1">
      <alignment horizontal="center" vertical="center"/>
    </xf>
    <xf numFmtId="1" fontId="33" fillId="0" borderId="25" xfId="0" applyNumberFormat="1" applyFont="1" applyBorder="1" applyAlignment="1">
      <alignment horizontal="center" vertical="center"/>
    </xf>
    <xf numFmtId="0" fontId="35" fillId="37" borderId="25" xfId="0" applyFont="1" applyFill="1" applyBorder="1" applyAlignment="1">
      <alignment horizontal="center" vertical="center"/>
    </xf>
    <xf numFmtId="165" fontId="33" fillId="0" borderId="25" xfId="0" applyNumberFormat="1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 wrapText="1"/>
    </xf>
    <xf numFmtId="0" fontId="17" fillId="36" borderId="25" xfId="0" applyFont="1" applyFill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4" fillId="35" borderId="25" xfId="0" applyFont="1" applyFill="1" applyBorder="1" applyAlignment="1">
      <alignment horizontal="center" vertical="center"/>
    </xf>
    <xf numFmtId="0" fontId="17" fillId="33" borderId="25" xfId="0" applyFont="1" applyFill="1" applyBorder="1" applyAlignment="1">
      <alignment horizontal="center" vertical="center"/>
    </xf>
    <xf numFmtId="0" fontId="31" fillId="34" borderId="25" xfId="0" applyFont="1" applyFill="1" applyBorder="1" applyAlignment="1">
      <alignment horizontal="center" vertical="center"/>
    </xf>
    <xf numFmtId="0" fontId="36" fillId="34" borderId="25" xfId="0" applyFont="1" applyFill="1" applyBorder="1" applyAlignment="1">
      <alignment horizontal="center" vertical="center"/>
    </xf>
    <xf numFmtId="0" fontId="17" fillId="39" borderId="25" xfId="0" applyFont="1" applyFill="1" applyBorder="1" applyAlignment="1">
      <alignment horizontal="center" vertical="center"/>
    </xf>
    <xf numFmtId="0" fontId="34" fillId="35" borderId="28" xfId="0" applyFont="1" applyFill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29" fillId="32" borderId="18" xfId="0" applyFont="1" applyFill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0" fontId="29" fillId="32" borderId="19" xfId="0" applyFont="1" applyFill="1" applyBorder="1" applyAlignment="1">
      <alignment horizontal="center" vertical="center"/>
    </xf>
    <xf numFmtId="0" fontId="29" fillId="32" borderId="20" xfId="0" applyFont="1" applyFill="1" applyBorder="1" applyAlignment="1">
      <alignment horizontal="center" vertical="center"/>
    </xf>
    <xf numFmtId="0" fontId="33" fillId="0" borderId="24" xfId="0" applyFont="1" applyBorder="1" applyAlignment="1">
      <alignment horizontal="center" vertical="center" wrapText="1"/>
    </xf>
    <xf numFmtId="0" fontId="31" fillId="34" borderId="30" xfId="0" applyFont="1" applyFill="1" applyBorder="1" applyAlignment="1">
      <alignment horizontal="center" vertical="center"/>
    </xf>
    <xf numFmtId="0" fontId="33" fillId="0" borderId="26" xfId="0" applyFont="1" applyBorder="1" applyAlignment="1">
      <alignment horizontal="center" vertical="center" wrapText="1"/>
    </xf>
    <xf numFmtId="14" fontId="33" fillId="0" borderId="18" xfId="0" applyNumberFormat="1" applyFont="1" applyBorder="1" applyAlignment="1">
      <alignment horizontal="center" vertical="center"/>
    </xf>
    <xf numFmtId="14" fontId="33" fillId="0" borderId="19" xfId="0" applyNumberFormat="1" applyFont="1" applyBorder="1" applyAlignment="1">
      <alignment horizontal="center" vertical="center"/>
    </xf>
    <xf numFmtId="14" fontId="33" fillId="0" borderId="20" xfId="0" applyNumberFormat="1" applyFont="1" applyBorder="1" applyAlignment="1">
      <alignment horizontal="center" vertical="center"/>
    </xf>
    <xf numFmtId="14" fontId="33" fillId="0" borderId="22" xfId="0" applyNumberFormat="1" applyFont="1" applyBorder="1" applyAlignment="1">
      <alignment horizontal="center" vertical="center"/>
    </xf>
    <xf numFmtId="0" fontId="34" fillId="35" borderId="22" xfId="0" applyFont="1" applyFill="1" applyBorder="1" applyAlignment="1">
      <alignment horizontal="center" vertical="center"/>
    </xf>
    <xf numFmtId="0" fontId="18" fillId="40" borderId="0" xfId="0" applyFont="1" applyFill="1"/>
    <xf numFmtId="166" fontId="0" fillId="0" borderId="0" xfId="0" applyNumberFormat="1"/>
    <xf numFmtId="0" fontId="18" fillId="47" borderId="0" xfId="0" applyFont="1" applyFill="1"/>
    <xf numFmtId="166" fontId="18" fillId="47" borderId="0" xfId="0" applyNumberFormat="1" applyFont="1" applyFill="1"/>
    <xf numFmtId="1" fontId="0" fillId="0" borderId="0" xfId="0" applyNumberFormat="1"/>
    <xf numFmtId="0" fontId="30" fillId="14" borderId="0" xfId="0" applyFont="1" applyFill="1"/>
    <xf numFmtId="0" fontId="39" fillId="0" borderId="0" xfId="0" applyFont="1"/>
    <xf numFmtId="166" fontId="5" fillId="46" borderId="0" xfId="0" applyNumberFormat="1" applyFont="1" applyFill="1" applyAlignment="1">
      <alignment horizontal="center"/>
    </xf>
    <xf numFmtId="0" fontId="5" fillId="46" borderId="0" xfId="0" applyFont="1" applyFill="1" applyAlignment="1">
      <alignment horizontal="center"/>
    </xf>
    <xf numFmtId="0" fontId="0" fillId="0" borderId="0" xfId="0"/>
    <xf numFmtId="0" fontId="5" fillId="41" borderId="0" xfId="0" applyFont="1" applyFill="1" applyAlignment="1">
      <alignment horizontal="center"/>
    </xf>
    <xf numFmtId="0" fontId="5" fillId="42" borderId="0" xfId="0" applyFont="1" applyFill="1" applyAlignment="1">
      <alignment horizontal="center"/>
    </xf>
    <xf numFmtId="0" fontId="38" fillId="43" borderId="0" xfId="0" applyFont="1" applyFill="1" applyAlignment="1">
      <alignment horizontal="center"/>
    </xf>
    <xf numFmtId="0" fontId="38" fillId="44" borderId="0" xfId="0" applyFont="1" applyFill="1" applyAlignment="1">
      <alignment horizontal="center"/>
    </xf>
    <xf numFmtId="0" fontId="5" fillId="45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37" fillId="17" borderId="0" xfId="0" applyFont="1" applyFill="1" applyAlignment="1">
      <alignment horizontal="center"/>
    </xf>
    <xf numFmtId="0" fontId="18" fillId="40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/>
    </xf>
    <xf numFmtId="0" fontId="33" fillId="0" borderId="28" xfId="0" applyFont="1" applyBorder="1" applyAlignment="1">
      <alignment horizontal="center" vertical="center"/>
    </xf>
    <xf numFmtId="0" fontId="33" fillId="0" borderId="30" xfId="0" applyFont="1" applyBorder="1" applyAlignment="1">
      <alignment horizontal="center" vertical="center"/>
    </xf>
    <xf numFmtId="0" fontId="33" fillId="0" borderId="29" xfId="0" applyFont="1" applyBorder="1" applyAlignment="1">
      <alignment horizontal="center" vertical="center"/>
    </xf>
    <xf numFmtId="0" fontId="33" fillId="0" borderId="31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14" fontId="33" fillId="0" borderId="29" xfId="0" applyNumberFormat="1" applyFont="1" applyBorder="1" applyAlignment="1">
      <alignment horizontal="center" vertical="center"/>
    </xf>
    <xf numFmtId="14" fontId="33" fillId="0" borderId="31" xfId="0" applyNumberFormat="1" applyFont="1" applyBorder="1" applyAlignment="1">
      <alignment horizontal="center" vertical="center"/>
    </xf>
    <xf numFmtId="14" fontId="33" fillId="0" borderId="23" xfId="0" applyNumberFormat="1" applyFont="1" applyBorder="1" applyAlignment="1">
      <alignment horizontal="center" vertical="center"/>
    </xf>
    <xf numFmtId="0" fontId="29" fillId="32" borderId="29" xfId="0" applyFont="1" applyFill="1" applyBorder="1" applyAlignment="1">
      <alignment horizontal="center" vertical="center"/>
    </xf>
    <xf numFmtId="0" fontId="29" fillId="32" borderId="31" xfId="0" applyFont="1" applyFill="1" applyBorder="1" applyAlignment="1">
      <alignment horizontal="center" vertical="center"/>
    </xf>
    <xf numFmtId="0" fontId="29" fillId="32" borderId="23" xfId="0" applyFont="1" applyFill="1" applyBorder="1" applyAlignment="1">
      <alignment horizontal="center" vertical="center"/>
    </xf>
    <xf numFmtId="0" fontId="33" fillId="0" borderId="22" xfId="0" applyFont="1" applyBorder="1" applyAlignment="1">
      <alignment horizontal="center" vertical="center"/>
    </xf>
    <xf numFmtId="0" fontId="31" fillId="34" borderId="29" xfId="0" applyFont="1" applyFill="1" applyBorder="1" applyAlignment="1">
      <alignment horizontal="center" vertical="center"/>
    </xf>
    <xf numFmtId="0" fontId="31" fillId="34" borderId="31" xfId="0" applyFont="1" applyFill="1" applyBorder="1" applyAlignment="1">
      <alignment horizontal="center" vertical="center"/>
    </xf>
    <xf numFmtId="0" fontId="29" fillId="32" borderId="28" xfId="0" applyFont="1" applyFill="1" applyBorder="1" applyAlignment="1">
      <alignment horizontal="center" vertical="center"/>
    </xf>
    <xf numFmtId="0" fontId="29" fillId="32" borderId="30" xfId="0" applyFont="1" applyFill="1" applyBorder="1" applyAlignment="1">
      <alignment horizontal="center" vertical="center"/>
    </xf>
    <xf numFmtId="0" fontId="31" fillId="34" borderId="23" xfId="0" applyFont="1" applyFill="1" applyBorder="1" applyAlignment="1">
      <alignment horizontal="center" vertical="center"/>
    </xf>
    <xf numFmtId="14" fontId="33" fillId="0" borderId="28" xfId="0" applyNumberFormat="1" applyFont="1" applyBorder="1" applyAlignment="1">
      <alignment horizontal="center" vertical="center"/>
    </xf>
    <xf numFmtId="14" fontId="33" fillId="0" borderId="30" xfId="0" applyNumberFormat="1" applyFont="1" applyBorder="1" applyAlignment="1">
      <alignment horizontal="center" vertical="center"/>
    </xf>
    <xf numFmtId="166" fontId="0" fillId="0" borderId="1" xfId="0" applyNumberFormat="1" applyBorder="1"/>
    <xf numFmtId="0" fontId="0" fillId="0" borderId="1" xfId="0" applyBorder="1"/>
    <xf numFmtId="0" fontId="5" fillId="21" borderId="0" xfId="0" applyFont="1" applyFill="1" applyAlignment="1">
      <alignment horizontal="center" vertical="center"/>
    </xf>
    <xf numFmtId="1" fontId="25" fillId="15" borderId="1" xfId="0" applyNumberFormat="1" applyFont="1" applyFill="1" applyBorder="1" applyAlignment="1">
      <alignment horizontal="center" vertical="center"/>
    </xf>
    <xf numFmtId="0" fontId="7" fillId="23" borderId="1" xfId="0" applyFont="1" applyFill="1" applyBorder="1" applyAlignment="1">
      <alignment horizontal="center" vertical="center"/>
    </xf>
    <xf numFmtId="0" fontId="7" fillId="24" borderId="1" xfId="0" applyFont="1" applyFill="1" applyBorder="1" applyAlignment="1">
      <alignment horizontal="center" vertical="center"/>
    </xf>
    <xf numFmtId="0" fontId="7" fillId="25" borderId="1" xfId="0" applyFont="1" applyFill="1" applyBorder="1" applyAlignment="1">
      <alignment horizontal="center" vertical="center"/>
    </xf>
    <xf numFmtId="0" fontId="7" fillId="26" borderId="1" xfId="0" applyFont="1" applyFill="1" applyBorder="1" applyAlignment="1">
      <alignment horizontal="center" vertical="center"/>
    </xf>
    <xf numFmtId="0" fontId="7" fillId="27" borderId="1" xfId="0" applyFont="1" applyFill="1" applyBorder="1" applyAlignment="1">
      <alignment horizontal="center" vertical="center"/>
    </xf>
    <xf numFmtId="0" fontId="7" fillId="28" borderId="1" xfId="0" applyFont="1" applyFill="1" applyBorder="1" applyAlignment="1">
      <alignment horizontal="center" vertical="center"/>
    </xf>
    <xf numFmtId="1" fontId="20" fillId="15" borderId="1" xfId="0" applyNumberFormat="1" applyFont="1" applyFill="1" applyBorder="1" applyAlignment="1">
      <alignment horizontal="center" vertical="center"/>
    </xf>
    <xf numFmtId="1" fontId="21" fillId="15" borderId="1" xfId="0" applyNumberFormat="1" applyFont="1" applyFill="1" applyBorder="1" applyAlignment="1">
      <alignment horizontal="center" vertical="center"/>
    </xf>
    <xf numFmtId="1" fontId="22" fillId="15" borderId="1" xfId="0" applyNumberFormat="1" applyFont="1" applyFill="1" applyBorder="1" applyAlignment="1">
      <alignment horizontal="center" vertical="center"/>
    </xf>
    <xf numFmtId="1" fontId="23" fillId="15" borderId="1" xfId="0" applyNumberFormat="1" applyFont="1" applyFill="1" applyBorder="1" applyAlignment="1">
      <alignment horizontal="center" vertical="center"/>
    </xf>
    <xf numFmtId="1" fontId="24" fillId="15" borderId="1" xfId="0" applyNumberFormat="1" applyFont="1" applyFill="1" applyBorder="1" applyAlignment="1">
      <alignment horizontal="center" vertical="center"/>
    </xf>
    <xf numFmtId="0" fontId="19" fillId="22" borderId="0" xfId="0" applyFont="1" applyFill="1" applyAlignment="1">
      <alignment horizontal="center"/>
    </xf>
    <xf numFmtId="0" fontId="4" fillId="21" borderId="0" xfId="0" applyFont="1" applyFill="1" applyAlignment="1">
      <alignment horizontal="center"/>
    </xf>
    <xf numFmtId="0" fontId="27" fillId="0" borderId="0" xfId="0" applyFont="1" applyAlignment="1">
      <alignment horizontal="center"/>
    </xf>
    <xf numFmtId="0" fontId="4" fillId="21" borderId="12" xfId="0" applyFont="1" applyFill="1" applyBorder="1" applyAlignment="1">
      <alignment horizontal="center"/>
    </xf>
    <xf numFmtId="0" fontId="0" fillId="0" borderId="10" xfId="0" applyBorder="1"/>
    <xf numFmtId="0" fontId="0" fillId="0" borderId="15" xfId="0" applyBorder="1"/>
  </cellXfs>
  <cellStyles count="1">
    <cellStyle name="Normal" xfId="0" builtinId="0"/>
  </cellStyles>
  <dxfs count="47">
    <dxf>
      <border>
        <left style="thin">
          <color rgb="FFFF0000"/>
        </left>
        <right style="thin">
          <color rgb="FFFF0000"/>
        </right>
      </border>
    </dxf>
    <dxf>
      <font>
        <color rgb="FF7030A0"/>
      </font>
      <fill>
        <patternFill patternType="solid">
          <fgColor indexed="64"/>
          <bgColor rgb="FF7030A0"/>
        </patternFill>
      </fill>
    </dxf>
    <dxf>
      <font>
        <color rgb="FFBFBFBF"/>
      </font>
      <fill>
        <patternFill patternType="solid">
          <fgColor indexed="64"/>
          <bgColor rgb="FFBFBFBF"/>
        </patternFill>
      </fill>
    </dxf>
    <dxf>
      <font>
        <color rgb="FFFF4444"/>
      </font>
      <fill>
        <patternFill patternType="solid">
          <fgColor indexed="64"/>
          <bgColor rgb="FFFF4444"/>
        </patternFill>
      </fill>
    </dxf>
    <dxf>
      <font>
        <color rgb="FFFFC000"/>
      </font>
      <fill>
        <patternFill patternType="solid">
          <fgColor indexed="64"/>
          <bgColor rgb="FFFFC000"/>
        </patternFill>
      </fill>
    </dxf>
    <dxf>
      <font>
        <color rgb="FF00B050"/>
      </font>
      <fill>
        <patternFill patternType="solid">
          <fgColor indexed="64"/>
          <bgColor rgb="FF00B050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FFFFFF"/>
      </font>
      <fill>
        <patternFill patternType="solid">
          <fgColor indexed="64"/>
          <bgColor rgb="FFFF8C00"/>
        </patternFill>
      </fill>
    </dxf>
    <dxf>
      <font>
        <color rgb="FFFFFFFF"/>
      </font>
      <fill>
        <patternFill patternType="solid">
          <fgColor indexed="64"/>
          <bgColor rgb="FFFF4444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b/>
        <i val="0"/>
        <color rgb="FFFF0000"/>
      </font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333333"/>
      </font>
      <fill>
        <patternFill patternType="solid">
          <fgColor indexed="64"/>
          <bgColor rgb="FFFFD700"/>
        </patternFill>
      </fill>
    </dxf>
    <dxf>
      <font>
        <b/>
        <i val="0"/>
        <color rgb="FFFFFFFF"/>
      </font>
      <fill>
        <patternFill patternType="solid">
          <fgColor indexed="64"/>
          <bgColor rgb="FFFF8C00"/>
        </patternFill>
      </fill>
    </dxf>
    <dxf>
      <font>
        <b/>
        <i val="0"/>
        <color rgb="FFFFFFFF"/>
      </font>
      <fill>
        <patternFill patternType="solid">
          <fgColor indexed="64"/>
          <bgColor rgb="FFFF4444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333333"/>
      </font>
      <fill>
        <patternFill patternType="solid">
          <fgColor indexed="64"/>
          <bgColor rgb="FFFFD700"/>
        </patternFill>
      </fill>
    </dxf>
    <dxf>
      <font>
        <b/>
        <i val="0"/>
        <color rgb="FFFFFFFF"/>
      </font>
      <fill>
        <patternFill patternType="solid">
          <fgColor indexed="64"/>
          <bgColor rgb="FFFF8C00"/>
        </patternFill>
      </fill>
    </dxf>
    <dxf>
      <font>
        <b/>
        <i val="0"/>
        <color rgb="FFFFFFFF"/>
      </font>
      <fill>
        <patternFill patternType="solid">
          <fgColor indexed="64"/>
          <bgColor rgb="FFFF4444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0" formatCode="General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" formatCode="0"/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numFmt numFmtId="19" formatCode="m/d/yyyy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A58203"/>
      <color rgb="FFB970F0"/>
      <color rgb="FF660033"/>
      <color rgb="FF5691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'BSI Dashboard'!$B$45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CB-4E8F-8083-DD00564C33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CB-4E8F-8083-DD00564C33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CB-4E8F-8083-DD00564C33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CB-4E8F-8083-DD00564C33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CB-4E8F-8083-DD00564C332C}"/>
              </c:ext>
            </c:extLst>
          </c:dPt>
          <c:cat>
            <c:strRef>
              <c:f>'BSI Dashboard'!$A$46:$A$50</c:f>
              <c:strCache>
                <c:ptCount val="5"/>
                <c:pt idx="0">
                  <c:v>Completed</c:v>
                </c:pt>
                <c:pt idx="1">
                  <c:v>In Progress</c:v>
                </c:pt>
                <c:pt idx="2">
                  <c:v>In Review</c:v>
                </c:pt>
                <c:pt idx="3">
                  <c:v>Not Started</c:v>
                </c:pt>
                <c:pt idx="4">
                  <c:v>TBD</c:v>
                </c:pt>
              </c:strCache>
            </c:strRef>
          </c:cat>
          <c:val>
            <c:numRef>
              <c:f>'BSI Dashboard'!$B$46:$B$50</c:f>
              <c:numCache>
                <c:formatCode>General</c:formatCode>
                <c:ptCount val="5"/>
                <c:pt idx="0">
                  <c:v>7</c:v>
                </c:pt>
                <c:pt idx="1">
                  <c:v>1</c:v>
                </c:pt>
                <c:pt idx="2">
                  <c:v>3</c:v>
                </c:pt>
                <c:pt idx="3">
                  <c:v>11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85-41D0-AF69-5B3FD1BDD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'BSI Dashboard'!$E$45</c:f>
              <c:strCache>
                <c:ptCount val="1"/>
                <c:pt idx="0">
                  <c:v>Assigned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'BSI Dashboard'!$D$46:$D$49</c:f>
              <c:strCache>
                <c:ptCount val="4"/>
                <c:pt idx="0">
                  <c:v>Harish</c:v>
                </c:pt>
                <c:pt idx="1">
                  <c:v>Jeff</c:v>
                </c:pt>
                <c:pt idx="2">
                  <c:v>Venkata</c:v>
                </c:pt>
                <c:pt idx="3">
                  <c:v>Terence</c:v>
                </c:pt>
              </c:strCache>
            </c:strRef>
          </c:cat>
          <c:val>
            <c:numRef>
              <c:f>'BSI Dashboard'!$E$46:$E$49</c:f>
              <c:numCache>
                <c:formatCode>General</c:formatCode>
                <c:ptCount val="4"/>
                <c:pt idx="0">
                  <c:v>9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8-4C25-B6D9-CB572E0BAC5E}"/>
            </c:ext>
          </c:extLst>
        </c:ser>
        <c:ser>
          <c:idx val="1"/>
          <c:order val="1"/>
          <c:tx>
            <c:strRef>
              <c:f>'BSI Dashboard'!$F$45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'BSI Dashboard'!$D$46:$D$49</c:f>
              <c:strCache>
                <c:ptCount val="4"/>
                <c:pt idx="0">
                  <c:v>Harish</c:v>
                </c:pt>
                <c:pt idx="1">
                  <c:v>Jeff</c:v>
                </c:pt>
                <c:pt idx="2">
                  <c:v>Venkata</c:v>
                </c:pt>
                <c:pt idx="3">
                  <c:v>Terence</c:v>
                </c:pt>
              </c:strCache>
            </c:strRef>
          </c:cat>
          <c:val>
            <c:numRef>
              <c:f>'BSI Dashboard'!$F$46:$F$49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8-4C25-B6D9-CB572E0BA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179328"/>
        <c:axId val="92177888"/>
      </c:barChart>
      <c:catAx>
        <c:axId val="9217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77888"/>
        <c:crosses val="autoZero"/>
        <c:auto val="1"/>
        <c:lblAlgn val="ctr"/>
        <c:lblOffset val="100"/>
        <c:noMultiLvlLbl val="0"/>
      </c:catAx>
      <c:valAx>
        <c:axId val="9217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17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'BSI Dashboard'!$I$45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0A9-4B20-9016-4E18D90E28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0A9-4B20-9016-4E18D90E28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0A9-4B20-9016-4E18D90E28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0A9-4B20-9016-4E18D90E28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0A9-4B20-9016-4E18D90E28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0A9-4B20-9016-4E18D90E280A}"/>
              </c:ext>
            </c:extLst>
          </c:dPt>
          <c:cat>
            <c:strRef>
              <c:f>'BSI Dashboard'!$H$46:$H$51</c:f>
              <c:strCache>
                <c:ptCount val="6"/>
                <c:pt idx="0">
                  <c:v>OVERDUE</c:v>
                </c:pt>
                <c:pt idx="1">
                  <c:v>URGENT</c:v>
                </c:pt>
                <c:pt idx="2">
                  <c:v>SOON</c:v>
                </c:pt>
                <c:pt idx="3">
                  <c:v>ON TRACK</c:v>
                </c:pt>
                <c:pt idx="4">
                  <c:v>DONE</c:v>
                </c:pt>
                <c:pt idx="5">
                  <c:v>TBD</c:v>
                </c:pt>
              </c:strCache>
            </c:strRef>
          </c:cat>
          <c:val>
            <c:numRef>
              <c:f>'BSI Dashboard'!$I$46:$I$51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3</c:v>
                </c:pt>
                <c:pt idx="3">
                  <c:v>7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0-4711-A21F-33DD9519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Writer Workload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'Writer Workload'!$A$4</c:f>
              <c:strCache>
                <c:ptCount val="1"/>
                <c:pt idx="0">
                  <c:v>Harish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'Writer Workload'!$B$3:$G$3</c:f>
              <c:strCache>
                <c:ptCount val="6"/>
                <c:pt idx="0">
                  <c:v>Total Assigned</c:v>
                </c:pt>
                <c:pt idx="1">
                  <c:v>Completed</c:v>
                </c:pt>
                <c:pt idx="2">
                  <c:v>In Progress</c:v>
                </c:pt>
                <c:pt idx="3">
                  <c:v>Not Started</c:v>
                </c:pt>
                <c:pt idx="4">
                  <c:v>TBD</c:v>
                </c:pt>
                <c:pt idx="5">
                  <c:v>Overdue</c:v>
                </c:pt>
              </c:strCache>
            </c:strRef>
          </c:cat>
          <c:val>
            <c:numRef>
              <c:f>'Writer Workload'!$B$4:$G$4</c:f>
              <c:numCache>
                <c:formatCode>General</c:formatCode>
                <c:ptCount val="6"/>
                <c:pt idx="0">
                  <c:v>3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61-4B59-AB66-B5A29B1099E7}"/>
            </c:ext>
          </c:extLst>
        </c:ser>
        <c:ser>
          <c:idx val="1"/>
          <c:order val="1"/>
          <c:tx>
            <c:strRef>
              <c:f>'Writer Workload'!$A$5</c:f>
              <c:strCache>
                <c:ptCount val="1"/>
                <c:pt idx="0">
                  <c:v>Jeff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'Writer Workload'!$B$3:$G$3</c:f>
              <c:strCache>
                <c:ptCount val="6"/>
                <c:pt idx="0">
                  <c:v>Total Assigned</c:v>
                </c:pt>
                <c:pt idx="1">
                  <c:v>Completed</c:v>
                </c:pt>
                <c:pt idx="2">
                  <c:v>In Progress</c:v>
                </c:pt>
                <c:pt idx="3">
                  <c:v>Not Started</c:v>
                </c:pt>
                <c:pt idx="4">
                  <c:v>TBD</c:v>
                </c:pt>
                <c:pt idx="5">
                  <c:v>Overdue</c:v>
                </c:pt>
              </c:strCache>
            </c:strRef>
          </c:cat>
          <c:val>
            <c:numRef>
              <c:f>'Writer Workload'!$B$5:$G$5</c:f>
              <c:numCache>
                <c:formatCode>General</c:formatCode>
                <c:ptCount val="6"/>
                <c:pt idx="0">
                  <c:v>10</c:v>
                </c:pt>
                <c:pt idx="1">
                  <c:v>0</c:v>
                </c:pt>
                <c:pt idx="2">
                  <c:v>2</c:v>
                </c:pt>
                <c:pt idx="3">
                  <c:v>7</c:v>
                </c:pt>
                <c:pt idx="4">
                  <c:v>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61-4B59-AB66-B5A29B1099E7}"/>
            </c:ext>
          </c:extLst>
        </c:ser>
        <c:ser>
          <c:idx val="2"/>
          <c:order val="2"/>
          <c:tx>
            <c:strRef>
              <c:f>'Writer Workload'!$A$6</c:f>
              <c:strCache>
                <c:ptCount val="1"/>
                <c:pt idx="0">
                  <c:v>Venkata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'Writer Workload'!$B$3:$G$3</c:f>
              <c:strCache>
                <c:ptCount val="6"/>
                <c:pt idx="0">
                  <c:v>Total Assigned</c:v>
                </c:pt>
                <c:pt idx="1">
                  <c:v>Completed</c:v>
                </c:pt>
                <c:pt idx="2">
                  <c:v>In Progress</c:v>
                </c:pt>
                <c:pt idx="3">
                  <c:v>Not Started</c:v>
                </c:pt>
                <c:pt idx="4">
                  <c:v>TBD</c:v>
                </c:pt>
                <c:pt idx="5">
                  <c:v>Overdue</c:v>
                </c:pt>
              </c:strCache>
            </c:strRef>
          </c:cat>
          <c:val>
            <c:numRef>
              <c:f>'Writer Workload'!$B$6:$G$6</c:f>
              <c:numCache>
                <c:formatCode>General</c:formatCode>
                <c:ptCount val="6"/>
                <c:pt idx="0">
                  <c:v>7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0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61-4B59-AB66-B5A29B1099E7}"/>
            </c:ext>
          </c:extLst>
        </c:ser>
        <c:ser>
          <c:idx val="3"/>
          <c:order val="3"/>
          <c:tx>
            <c:strRef>
              <c:f>'Writer Workload'!$A$7</c:f>
              <c:strCache>
                <c:ptCount val="1"/>
                <c:pt idx="0">
                  <c:v>Terence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'Writer Workload'!$B$3:$G$3</c:f>
              <c:strCache>
                <c:ptCount val="6"/>
                <c:pt idx="0">
                  <c:v>Total Assigned</c:v>
                </c:pt>
                <c:pt idx="1">
                  <c:v>Completed</c:v>
                </c:pt>
                <c:pt idx="2">
                  <c:v>In Progress</c:v>
                </c:pt>
                <c:pt idx="3">
                  <c:v>Not Started</c:v>
                </c:pt>
                <c:pt idx="4">
                  <c:v>TBD</c:v>
                </c:pt>
                <c:pt idx="5">
                  <c:v>Overdue</c:v>
                </c:pt>
              </c:strCache>
            </c:strRef>
          </c:cat>
          <c:val>
            <c:numRef>
              <c:f>'Writer Workload'!$B$7:$G$7</c:f>
              <c:numCache>
                <c:formatCode>General</c:formatCode>
                <c:ptCount val="6"/>
                <c:pt idx="0">
                  <c:v>12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0</c:v>
                </c:pt>
                <c:pt idx="5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61-4B59-AB66-B5A29B109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59589424"/>
        <c:axId val="759589904"/>
      </c:barChart>
      <c:catAx>
        <c:axId val="759589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89904"/>
        <c:crosses val="autoZero"/>
        <c:auto val="1"/>
        <c:lblAlgn val="ctr"/>
        <c:lblOffset val="100"/>
        <c:noMultiLvlLbl val="0"/>
      </c:catAx>
      <c:valAx>
        <c:axId val="759589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58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3A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Writer Workload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3A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Dashboard!$E$45</c:f>
              <c:strCache>
                <c:ptCount val="1"/>
                <c:pt idx="0">
                  <c:v>Assigned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Dashboard!$D$46:$D$49</c:f>
            </c:multiLvlStrRef>
          </c:cat>
          <c:val>
            <c:numRef>
              <c:f>Dashboard!$E$46:$E$49</c:f>
            </c:numRef>
          </c:val>
          <c:extLst>
            <c:ext xmlns:c16="http://schemas.microsoft.com/office/drawing/2014/chart" uri="{C3380CC4-5D6E-409C-BE32-E72D297353CC}">
              <c16:uniqueId val="{00000000-7E20-4E77-9282-515191B76C7E}"/>
            </c:ext>
          </c:extLst>
        </c:ser>
        <c:ser>
          <c:idx val="1"/>
          <c:order val="1"/>
          <c:tx>
            <c:strRef>
              <c:f>Dashboard!$F$45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Dashboard!$D$46:$D$49</c:f>
            </c:multiLvlStrRef>
          </c:cat>
          <c:val>
            <c:numRef>
              <c:f>Dashboard!$F$46:$F$49</c:f>
            </c:numRef>
          </c:val>
          <c:extLst>
            <c:ext xmlns:c16="http://schemas.microsoft.com/office/drawing/2014/chart" uri="{C3380CC4-5D6E-409C-BE32-E72D297353CC}">
              <c16:uniqueId val="{00000001-7E20-4E77-9282-515191B76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910336"/>
        <c:axId val="1025911296"/>
      </c:barChart>
      <c:catAx>
        <c:axId val="102591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11296"/>
        <c:crosses val="autoZero"/>
        <c:auto val="1"/>
        <c:lblAlgn val="ctr"/>
        <c:lblOffset val="100"/>
        <c:noMultiLvlLbl val="0"/>
      </c:catAx>
      <c:valAx>
        <c:axId val="102591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91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DCE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3A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Priority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3A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Dashboard!$I$45</c:f>
              <c:strCache>
                <c:ptCount val="1"/>
                <c:pt idx="0">
                  <c:v>Count</c:v>
                </c:pt>
              </c:strCache>
            </c:strRef>
          </c:tx>
          <c:cat>
            <c:multiLvlStrRef>
              <c:f>Dashboard!$H$46:$H$51</c:f>
            </c:multiLvlStrRef>
          </c:cat>
          <c:val>
            <c:numRef>
              <c:f>Dashboard!$I$46:$I$51</c:f>
            </c:numRef>
          </c:val>
          <c:extLst>
            <c:ext xmlns:c16="http://schemas.microsoft.com/office/drawing/2014/chart" uri="{C3380CC4-5D6E-409C-BE32-E72D297353CC}">
              <c16:uniqueId val="{00000000-5770-434B-9456-4862F6CD5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DCE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B3A5C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B3A5C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Dashboard!$B$45</c:f>
              <c:strCache>
                <c:ptCount val="1"/>
                <c:pt idx="0">
                  <c:v>Count</c:v>
                </c:pt>
              </c:strCache>
            </c:strRef>
          </c:tx>
          <c:cat>
            <c:multiLvlStrRef>
              <c:f>Dashboard!$A$46:$A$50</c:f>
            </c:multiLvlStrRef>
          </c:cat>
          <c:val>
            <c:numRef>
              <c:f>Dashboard!$B$46:$B$50</c:f>
            </c:numRef>
          </c:val>
          <c:extLst>
            <c:ext xmlns:c16="http://schemas.microsoft.com/office/drawing/2014/chart" uri="{C3380CC4-5D6E-409C-BE32-E72D297353CC}">
              <c16:uniqueId val="{00000000-80C7-4352-8B68-3C78A77E3E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rgbClr val="D6DCE4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0</xdr:rowOff>
    </xdr:from>
    <xdr:to>
      <xdr:col>4</xdr:col>
      <xdr:colOff>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4D1E99-B6DF-52AB-4AAC-1B853B63D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</xdr:colOff>
      <xdr:row>24</xdr:row>
      <xdr:rowOff>0</xdr:rowOff>
    </xdr:from>
    <xdr:to>
      <xdr:col>8</xdr:col>
      <xdr:colOff>1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3AD377-6C0A-C1E9-1782-643CC96EE3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24</xdr:row>
      <xdr:rowOff>0</xdr:rowOff>
    </xdr:from>
    <xdr:to>
      <xdr:col>12</xdr:col>
      <xdr:colOff>0</xdr:colOff>
      <xdr:row>38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7C5451-EA04-C44C-B2A4-BCC51DA3EF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18</xdr:col>
      <xdr:colOff>457200</xdr:colOff>
      <xdr:row>14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978FB-74D3-E61E-7F73-28A038FFA2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24</xdr:row>
      <xdr:rowOff>0</xdr:rowOff>
    </xdr:from>
    <xdr:to>
      <xdr:col>7</xdr:col>
      <xdr:colOff>0</xdr:colOff>
      <xdr:row>39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A1A00C-2728-1E72-C507-6CBE31003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</xdr:colOff>
      <xdr:row>24</xdr:row>
      <xdr:rowOff>0</xdr:rowOff>
    </xdr:from>
    <xdr:to>
      <xdr:col>12</xdr:col>
      <xdr:colOff>1</xdr:colOff>
      <xdr:row>39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1176468-C851-7CD6-DB00-CCF83B323F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3</xdr:col>
      <xdr:colOff>0</xdr:colOff>
      <xdr:row>39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C36A890-649A-611F-3E31-886DC7C81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7544BF-CD7F-429B-9BE4-52C6F4CE92D1}" name="Table14" displayName="Table14" ref="A1:S158" totalsRowShown="0" headerRowDxfId="46" dataDxfId="45">
  <autoFilter ref="A1:S158" xr:uid="{B9F941AC-1033-4D5A-94AA-939E8C58F638}">
    <filterColumn colId="15">
      <filters>
        <filter val="🔴 OVERDUE"/>
      </filters>
    </filterColumn>
  </autoFilter>
  <tableColumns count="19">
    <tableColumn id="1" xr3:uid="{E308A332-8956-476C-990F-64371E06C50E}" name="MDR Certificate" dataDxfId="44"/>
    <tableColumn id="2" xr3:uid="{20F5D491-4757-4CAF-851A-19809442991F}" name="TD" dataDxfId="43"/>
    <tableColumn id="3" xr3:uid="{C79BE611-504C-4423-B390-269F3CE3EEA0}" name="PSUR/PMSR ID" dataDxfId="42"/>
    <tableColumn id="4" xr3:uid="{9AC24AD3-82FE-40E1-9F72-343FF5640935}" name="Product Name" dataDxfId="41"/>
    <tableColumn id="5" xr3:uid="{2A70DC0F-536B-4175-ADDD-D3738B5D4924}" name="Class" dataDxfId="40"/>
    <tableColumn id="6" xr3:uid="{6602B37A-E9CE-49E9-8F7E-E92AEFC7661A}" name="Type" dataDxfId="39"/>
    <tableColumn id="7" xr3:uid="{B343F5B6-1FC6-4A4C-A993-579CEE404B43}" name="Start Period" dataDxfId="38"/>
    <tableColumn id="8" xr3:uid="{E4C31A9A-6653-4AE0-B863-222A8D93E571}" name="End Period" dataDxfId="37"/>
    <tableColumn id="9" xr3:uid="{43CA7BDF-8F75-47A7-8E91-C75E7E8A5CF5}" name="Frequency" dataDxfId="36"/>
    <tableColumn id="10" xr3:uid="{E67FA039-70A3-4C6A-8C26-D0874932E282}" name="Due Date" dataDxfId="35"/>
    <tableColumn id="11" xr3:uid="{9FCB90FB-5FC0-4118-B8E0-25BCA3C9BE7F}" name="Status" dataDxfId="34"/>
    <tableColumn id="12" xr3:uid="{D69ABC3B-E8F7-41EE-A342-7D6318712487}" name="Writer" dataDxfId="33"/>
    <tableColumn id="13" xr3:uid="{7B561A8A-D355-4029-88BE-D3960FE436C9}" name="Combined PSUR" dataDxfId="32"/>
    <tableColumn id="14" xr3:uid="{2C0D0BA4-3358-471A-9356-419CF5E4635C}" name="Notes" dataDxfId="31"/>
    <tableColumn id="15" xr3:uid="{14943E2F-9BAC-40A2-A435-9B8A56E49B5B}" name="Days Remaining" dataDxfId="30">
      <calculatedColumnFormula>IF(K2="Completed","-",IF(ISNUMBER(J2),J2-TODAY(),"N/A"))</calculatedColumnFormula>
    </tableColumn>
    <tableColumn id="16" xr3:uid="{0A518F04-5DC3-4177-8122-FF3E3C4A46B7}" name="Priority" dataDxfId="29"/>
    <tableColumn id="17" xr3:uid="{FAF3E547-51C4-42B7-B486-0409AE404354}" name="Quarter" dataDxfId="28">
      <calculatedColumnFormula>IF(ISNUMBER(J2),"Q"&amp;INT((MONTH(J2)-1)/3)+1&amp;" "&amp;YEAR(J2),"TBD")</calculatedColumnFormula>
    </tableColumn>
    <tableColumn id="18" xr3:uid="{4CFF1C04-445D-4F50-9D21-4F8D6B926B2E}" name="Completion %" dataDxfId="27">
      <calculatedColumnFormula>IF(K2="Completed",100,IF(K2="In progress",50,IF(K2="Assigned",25,IF(K2="Not Started",0,IF(K2="TBD",0,0)))))</calculatedColumnFormula>
    </tableColumn>
    <tableColumn id="19" xr3:uid="{F4FA2DA1-D014-4528-B345-1528E026C45B}" name="Overdue?" dataDxfId="26">
      <calculatedColumnFormula>IF(AND(ISNUMBER(O2),O2&lt;0,K2&lt;&gt;"Completed"),"⚠️ YES","No")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0A31DB-973E-4994-9DD6-D5E543ED28F0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09C74-C5EA-40AC-B476-4DCC6D3114BF}">
  <dimension ref="A1:S199"/>
  <sheetViews>
    <sheetView workbookViewId="0">
      <pane ySplit="1" topLeftCell="A4" activePane="bottomLeft" state="frozen"/>
      <selection pane="bottomLeft" activeCell="K27" sqref="K27"/>
    </sheetView>
  </sheetViews>
  <sheetFormatPr defaultColWidth="9" defaultRowHeight="12.75" zeroHeight="1" x14ac:dyDescent="0.2"/>
  <cols>
    <col min="1" max="1" width="15.875" style="45" customWidth="1"/>
    <col min="2" max="2" width="6.625" style="45" bestFit="1" customWidth="1"/>
    <col min="3" max="3" width="14.5" style="45" customWidth="1"/>
    <col min="4" max="4" width="31.75" style="45" customWidth="1"/>
    <col min="5" max="5" width="7.625" style="45" bestFit="1" customWidth="1"/>
    <col min="6" max="6" width="10.125" style="45" customWidth="1"/>
    <col min="7" max="7" width="11.75" style="45" bestFit="1" customWidth="1"/>
    <col min="8" max="8" width="12.25" style="46" bestFit="1" customWidth="1"/>
    <col min="9" max="9" width="11" style="45" bestFit="1" customWidth="1"/>
    <col min="10" max="10" width="15.375" style="46" bestFit="1" customWidth="1"/>
    <col min="11" max="11" width="10.625" style="45" bestFit="1" customWidth="1"/>
    <col min="12" max="12" width="8.625" style="45"/>
    <col min="13" max="13" width="14.625" style="45" bestFit="1" customWidth="1"/>
    <col min="14" max="14" width="28.875" style="44" customWidth="1"/>
    <col min="15" max="15" width="15.5" style="45" bestFit="1" customWidth="1"/>
    <col min="16" max="16" width="19.25" style="45" bestFit="1" customWidth="1"/>
    <col min="17" max="17" width="10.375" style="2" bestFit="1" customWidth="1"/>
    <col min="18" max="18" width="14.375" style="2" bestFit="1" customWidth="1"/>
    <col min="19" max="19" width="11.625" style="2" bestFit="1" customWidth="1"/>
    <col min="20" max="16384" width="9" style="2"/>
  </cols>
  <sheetData>
    <row r="1" spans="1:19" s="47" customFormat="1" x14ac:dyDescent="0.25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2" t="s">
        <v>7</v>
      </c>
      <c r="I1" s="51" t="s">
        <v>8</v>
      </c>
      <c r="J1" s="53" t="s">
        <v>9</v>
      </c>
      <c r="K1" s="51" t="s">
        <v>10</v>
      </c>
      <c r="L1" s="51" t="s">
        <v>233</v>
      </c>
      <c r="M1" s="51" t="s">
        <v>11</v>
      </c>
      <c r="N1" s="54" t="s">
        <v>12</v>
      </c>
      <c r="O1" s="55" t="s">
        <v>13</v>
      </c>
      <c r="P1" s="55" t="s">
        <v>14</v>
      </c>
      <c r="Q1" s="55" t="s">
        <v>15</v>
      </c>
      <c r="R1" s="55" t="s">
        <v>16</v>
      </c>
      <c r="S1" s="55" t="s">
        <v>17</v>
      </c>
    </row>
    <row r="2" spans="1:19" hidden="1" x14ac:dyDescent="0.2">
      <c r="A2" s="51" t="s">
        <v>80</v>
      </c>
      <c r="B2" s="51" t="s">
        <v>234</v>
      </c>
      <c r="C2" s="56" t="s">
        <v>235</v>
      </c>
      <c r="D2" s="56" t="s">
        <v>236</v>
      </c>
      <c r="E2" s="56" t="s">
        <v>237</v>
      </c>
      <c r="F2" s="56" t="s">
        <v>238</v>
      </c>
      <c r="G2" s="56" t="s">
        <v>239</v>
      </c>
      <c r="H2" s="56" t="s">
        <v>240</v>
      </c>
      <c r="I2" s="56" t="s">
        <v>241</v>
      </c>
      <c r="J2" s="57">
        <v>46113</v>
      </c>
      <c r="K2" s="56" t="s">
        <v>55</v>
      </c>
      <c r="L2" s="56" t="s">
        <v>242</v>
      </c>
      <c r="M2" s="56" t="s">
        <v>26</v>
      </c>
      <c r="N2" s="58" t="s">
        <v>114</v>
      </c>
      <c r="O2" s="59">
        <f t="shared" ref="O2:O3" ca="1" si="0">IF(K2="Completed","-",IF(ISNUMBER(J2),J2-TODAY(),"N/A"))</f>
        <v>-5</v>
      </c>
      <c r="P2" s="60" t="s">
        <v>50</v>
      </c>
      <c r="Q2" s="60" t="str">
        <f t="shared" ref="Q2:Q3" si="1">IF(ISNUMBER(J2),"Q"&amp;INT((MONTH(J2)-1)/3)+1&amp;" "&amp;YEAR(J2),"TBD")</f>
        <v>Q2 2026</v>
      </c>
      <c r="R2" s="61">
        <f t="shared" ref="R2:R3" si="2">IF(K2="Completed",100,IF(K2="In progress",50,IF(K2="Assigned",25,IF(K2="Not Started",0,IF(K2="TBD",0,0)))))</f>
        <v>50</v>
      </c>
      <c r="S2" s="60" t="str">
        <f t="shared" ref="S2:S3" ca="1" si="3">IF(AND(ISNUMBER(O2),O2&lt;0,K2&lt;&gt;"Completed"),"⚠️ YES","No")</f>
        <v>⚠️ YES</v>
      </c>
    </row>
    <row r="3" spans="1:19" hidden="1" x14ac:dyDescent="0.2">
      <c r="A3" s="51" t="s">
        <v>80</v>
      </c>
      <c r="B3" s="51" t="s">
        <v>243</v>
      </c>
      <c r="C3" s="56" t="s">
        <v>244</v>
      </c>
      <c r="D3" s="56" t="s">
        <v>245</v>
      </c>
      <c r="E3" s="56" t="s">
        <v>237</v>
      </c>
      <c r="F3" s="56" t="s">
        <v>238</v>
      </c>
      <c r="G3" s="56" t="s">
        <v>246</v>
      </c>
      <c r="H3" s="56" t="s">
        <v>240</v>
      </c>
      <c r="I3" s="56" t="s">
        <v>241</v>
      </c>
      <c r="J3" s="56" t="s">
        <v>247</v>
      </c>
      <c r="K3" s="56" t="s">
        <v>248</v>
      </c>
      <c r="L3" s="56" t="s">
        <v>242</v>
      </c>
      <c r="M3" s="56" t="s">
        <v>26</v>
      </c>
      <c r="N3" s="58" t="s">
        <v>249</v>
      </c>
      <c r="O3" s="59" t="str">
        <f t="shared" ca="1" si="0"/>
        <v>N/A</v>
      </c>
      <c r="P3" s="60" t="s">
        <v>190</v>
      </c>
      <c r="Q3" s="60" t="str">
        <f t="shared" si="1"/>
        <v>TBD</v>
      </c>
      <c r="R3" s="61">
        <f t="shared" si="2"/>
        <v>0</v>
      </c>
      <c r="S3" s="60" t="str">
        <f t="shared" ca="1" si="3"/>
        <v>No</v>
      </c>
    </row>
    <row r="4" spans="1:19" x14ac:dyDescent="0.2">
      <c r="A4" s="51" t="s">
        <v>80</v>
      </c>
      <c r="B4" s="56" t="s">
        <v>80</v>
      </c>
      <c r="C4" s="56" t="s">
        <v>300</v>
      </c>
      <c r="D4" s="56" t="s">
        <v>301</v>
      </c>
      <c r="E4" s="56" t="s">
        <v>138</v>
      </c>
      <c r="F4" s="56" t="s">
        <v>238</v>
      </c>
      <c r="G4" s="57">
        <v>44927</v>
      </c>
      <c r="H4" s="57">
        <v>45657</v>
      </c>
      <c r="I4" s="56" t="s">
        <v>139</v>
      </c>
      <c r="J4" s="62">
        <v>46073</v>
      </c>
      <c r="K4" s="56" t="s">
        <v>55</v>
      </c>
      <c r="L4" s="56" t="s">
        <v>80</v>
      </c>
      <c r="M4" s="56" t="s">
        <v>26</v>
      </c>
      <c r="N4" s="56"/>
      <c r="O4" s="59">
        <f t="shared" ref="O4" ca="1" si="4">IF(K4="Completed","-",IF(ISNUMBER(J4),J4-TODAY(),"N/A"))</f>
        <v>-45</v>
      </c>
      <c r="P4" s="60" t="s">
        <v>115</v>
      </c>
      <c r="Q4" s="60" t="str">
        <f t="shared" ref="Q4" si="5">IF(ISNUMBER(J4),"Q"&amp;INT((MONTH(J4)-1)/3)+1&amp;" "&amp;YEAR(J4),"TBD")</f>
        <v>Q1 2026</v>
      </c>
      <c r="R4" s="61">
        <f t="shared" ref="R4" si="6">IF(K4="Completed",100,IF(K4="In progress",50,IF(K4="Assigned",25,IF(K4="Not Started",0,IF(K4="TBD",0,0)))))</f>
        <v>50</v>
      </c>
      <c r="S4" s="60" t="str">
        <f t="shared" ref="S4" ca="1" si="7">IF(AND(ISNUMBER(O4),O4&lt;0,K4&lt;&gt;"Completed"),"⚠️ YES","No")</f>
        <v>⚠️ YES</v>
      </c>
    </row>
    <row r="5" spans="1:19" hidden="1" x14ac:dyDescent="0.2">
      <c r="A5" s="51" t="s">
        <v>80</v>
      </c>
      <c r="B5" s="51" t="s">
        <v>264</v>
      </c>
      <c r="C5" s="51" t="s">
        <v>265</v>
      </c>
      <c r="D5" s="51" t="s">
        <v>266</v>
      </c>
      <c r="E5" s="51" t="s">
        <v>267</v>
      </c>
      <c r="F5" s="51" t="s">
        <v>238</v>
      </c>
      <c r="G5" s="51" t="s">
        <v>80</v>
      </c>
      <c r="H5" s="51" t="s">
        <v>80</v>
      </c>
      <c r="I5" s="51"/>
      <c r="J5" s="53"/>
      <c r="K5" s="51" t="s">
        <v>25</v>
      </c>
      <c r="L5" s="51" t="s">
        <v>80</v>
      </c>
      <c r="M5" s="51" t="s">
        <v>268</v>
      </c>
      <c r="N5" s="54"/>
      <c r="O5" s="59" t="str">
        <f t="shared" ref="O5:O36" ca="1" si="8">IF(K5="Completed","-",IF(ISNUMBER(J5),J5-TODAY(),"N/A"))</f>
        <v>N/A</v>
      </c>
      <c r="P5" s="60" t="s">
        <v>190</v>
      </c>
      <c r="Q5" s="60" t="str">
        <f t="shared" ref="Q5:Q36" si="9">IF(ISNUMBER(J5),"Q"&amp;INT((MONTH(J5)-1)/3)+1&amp;" "&amp;YEAR(J5),"TBD")</f>
        <v>TBD</v>
      </c>
      <c r="R5" s="61">
        <f t="shared" ref="R5:R36" si="10">IF(K5="Completed",100,IF(K5="In progress",50,IF(K5="Assigned",25,IF(K5="Not Started",0,IF(K5="TBD",0,0)))))</f>
        <v>0</v>
      </c>
      <c r="S5" s="60" t="str">
        <f t="shared" ref="S5:S36" ca="1" si="11">IF(AND(ISNUMBER(O5),O5&lt;0,K5&lt;&gt;"Completed"),"⚠️ YES","No")</f>
        <v>No</v>
      </c>
    </row>
    <row r="6" spans="1:19" hidden="1" x14ac:dyDescent="0.2">
      <c r="A6" s="51" t="s">
        <v>80</v>
      </c>
      <c r="B6" s="51" t="s">
        <v>269</v>
      </c>
      <c r="C6" s="56" t="s">
        <v>270</v>
      </c>
      <c r="D6" s="56" t="s">
        <v>271</v>
      </c>
      <c r="E6" s="56" t="s">
        <v>237</v>
      </c>
      <c r="F6" s="56" t="s">
        <v>238</v>
      </c>
      <c r="G6" s="56" t="s">
        <v>272</v>
      </c>
      <c r="H6" s="56" t="s">
        <v>273</v>
      </c>
      <c r="I6" s="56" t="s">
        <v>241</v>
      </c>
      <c r="J6" s="56" t="s">
        <v>274</v>
      </c>
      <c r="K6" s="56" t="s">
        <v>41</v>
      </c>
      <c r="L6" s="56" t="s">
        <v>242</v>
      </c>
      <c r="M6" s="56" t="s">
        <v>26</v>
      </c>
      <c r="N6" s="58"/>
      <c r="O6" s="59" t="str">
        <f t="shared" ca="1" si="8"/>
        <v>-</v>
      </c>
      <c r="P6" s="60" t="s">
        <v>43</v>
      </c>
      <c r="Q6" s="60" t="str">
        <f t="shared" si="9"/>
        <v>TBD</v>
      </c>
      <c r="R6" s="61">
        <f t="shared" si="10"/>
        <v>100</v>
      </c>
      <c r="S6" s="60" t="str">
        <f t="shared" ca="1" si="11"/>
        <v>No</v>
      </c>
    </row>
    <row r="7" spans="1:19" hidden="1" x14ac:dyDescent="0.2">
      <c r="A7" s="51" t="s">
        <v>80</v>
      </c>
      <c r="B7" s="51" t="s">
        <v>275</v>
      </c>
      <c r="C7" s="51" t="s">
        <v>276</v>
      </c>
      <c r="D7" s="51" t="s">
        <v>277</v>
      </c>
      <c r="E7" s="51" t="s">
        <v>237</v>
      </c>
      <c r="F7" s="51" t="s">
        <v>238</v>
      </c>
      <c r="G7" s="53">
        <v>43952</v>
      </c>
      <c r="H7" s="53">
        <v>46022</v>
      </c>
      <c r="I7" s="51" t="s">
        <v>241</v>
      </c>
      <c r="J7" s="53"/>
      <c r="K7" s="51" t="s">
        <v>248</v>
      </c>
      <c r="L7" s="51" t="s">
        <v>242</v>
      </c>
      <c r="M7" s="51"/>
      <c r="N7" s="54"/>
      <c r="O7" s="59" t="str">
        <f t="shared" ca="1" si="8"/>
        <v>N/A</v>
      </c>
      <c r="P7" s="60" t="s">
        <v>190</v>
      </c>
      <c r="Q7" s="60" t="str">
        <f t="shared" si="9"/>
        <v>TBD</v>
      </c>
      <c r="R7" s="61">
        <f t="shared" si="10"/>
        <v>0</v>
      </c>
      <c r="S7" s="60" t="str">
        <f t="shared" ca="1" si="11"/>
        <v>No</v>
      </c>
    </row>
    <row r="8" spans="1:19" hidden="1" x14ac:dyDescent="0.2">
      <c r="A8" s="51" t="s">
        <v>80</v>
      </c>
      <c r="B8" s="51" t="s">
        <v>278</v>
      </c>
      <c r="C8" s="56" t="s">
        <v>279</v>
      </c>
      <c r="D8" s="56" t="s">
        <v>280</v>
      </c>
      <c r="E8" s="56" t="s">
        <v>237</v>
      </c>
      <c r="F8" s="56" t="s">
        <v>80</v>
      </c>
      <c r="G8" s="56" t="s">
        <v>281</v>
      </c>
      <c r="H8" s="56" t="s">
        <v>281</v>
      </c>
      <c r="I8" s="56" t="s">
        <v>80</v>
      </c>
      <c r="J8" s="56" t="s">
        <v>282</v>
      </c>
      <c r="K8" s="56" t="s">
        <v>25</v>
      </c>
      <c r="L8" s="56" t="s">
        <v>80</v>
      </c>
      <c r="M8" s="56" t="s">
        <v>26</v>
      </c>
      <c r="N8" s="58" t="s">
        <v>283</v>
      </c>
      <c r="O8" s="59" t="str">
        <f t="shared" ca="1" si="8"/>
        <v>N/A</v>
      </c>
      <c r="P8" s="60" t="s">
        <v>190</v>
      </c>
      <c r="Q8" s="60" t="str">
        <f t="shared" si="9"/>
        <v>TBD</v>
      </c>
      <c r="R8" s="61">
        <f t="shared" si="10"/>
        <v>0</v>
      </c>
      <c r="S8" s="60" t="str">
        <f t="shared" ca="1" si="11"/>
        <v>No</v>
      </c>
    </row>
    <row r="9" spans="1:19" hidden="1" x14ac:dyDescent="0.2">
      <c r="A9" s="51" t="s">
        <v>80</v>
      </c>
      <c r="B9" s="51" t="s">
        <v>284</v>
      </c>
      <c r="C9" s="51" t="s">
        <v>285</v>
      </c>
      <c r="D9" s="51" t="s">
        <v>286</v>
      </c>
      <c r="E9" s="51" t="s">
        <v>237</v>
      </c>
      <c r="F9" s="51" t="s">
        <v>253</v>
      </c>
      <c r="G9" s="53">
        <v>44561</v>
      </c>
      <c r="H9" s="53">
        <v>46751</v>
      </c>
      <c r="I9" s="51" t="s">
        <v>241</v>
      </c>
      <c r="J9" s="53"/>
      <c r="K9" s="51" t="s">
        <v>25</v>
      </c>
      <c r="L9" s="51" t="s">
        <v>80</v>
      </c>
      <c r="M9" s="51" t="s">
        <v>26</v>
      </c>
      <c r="N9" s="51" t="s">
        <v>287</v>
      </c>
      <c r="O9" s="59" t="str">
        <f t="shared" ca="1" si="8"/>
        <v>N/A</v>
      </c>
      <c r="P9" s="60" t="s">
        <v>190</v>
      </c>
      <c r="Q9" s="60" t="str">
        <f t="shared" si="9"/>
        <v>TBD</v>
      </c>
      <c r="R9" s="60">
        <f t="shared" si="10"/>
        <v>0</v>
      </c>
      <c r="S9" s="60" t="str">
        <f t="shared" ca="1" si="11"/>
        <v>No</v>
      </c>
    </row>
    <row r="10" spans="1:19" hidden="1" x14ac:dyDescent="0.2">
      <c r="A10" s="51" t="s">
        <v>80</v>
      </c>
      <c r="B10" s="51" t="s">
        <v>288</v>
      </c>
      <c r="C10" s="51" t="s">
        <v>289</v>
      </c>
      <c r="D10" s="51" t="s">
        <v>290</v>
      </c>
      <c r="E10" s="51" t="s">
        <v>237</v>
      </c>
      <c r="F10" s="51" t="s">
        <v>238</v>
      </c>
      <c r="G10" s="53">
        <v>44561</v>
      </c>
      <c r="H10" s="53">
        <v>46751</v>
      </c>
      <c r="I10" s="51" t="s">
        <v>241</v>
      </c>
      <c r="J10" s="53"/>
      <c r="K10" s="51" t="s">
        <v>25</v>
      </c>
      <c r="L10" s="51" t="s">
        <v>80</v>
      </c>
      <c r="M10" s="51" t="s">
        <v>26</v>
      </c>
      <c r="N10" s="51" t="s">
        <v>287</v>
      </c>
      <c r="O10" s="59" t="str">
        <f t="shared" ca="1" si="8"/>
        <v>N/A</v>
      </c>
      <c r="P10" s="60" t="s">
        <v>190</v>
      </c>
      <c r="Q10" s="60" t="str">
        <f t="shared" si="9"/>
        <v>TBD</v>
      </c>
      <c r="R10" s="60">
        <f t="shared" si="10"/>
        <v>0</v>
      </c>
      <c r="S10" s="60" t="str">
        <f t="shared" ca="1" si="11"/>
        <v>No</v>
      </c>
    </row>
    <row r="11" spans="1:19" hidden="1" x14ac:dyDescent="0.2">
      <c r="A11" s="51" t="s">
        <v>80</v>
      </c>
      <c r="B11" s="51" t="s">
        <v>291</v>
      </c>
      <c r="C11" s="51" t="s">
        <v>292</v>
      </c>
      <c r="D11" s="51" t="s">
        <v>293</v>
      </c>
      <c r="E11" s="51" t="s">
        <v>237</v>
      </c>
      <c r="F11" s="51" t="s">
        <v>238</v>
      </c>
      <c r="G11" s="53">
        <v>44926</v>
      </c>
      <c r="H11" s="53">
        <v>47117</v>
      </c>
      <c r="I11" s="51" t="s">
        <v>241</v>
      </c>
      <c r="J11" s="53"/>
      <c r="K11" s="51" t="s">
        <v>25</v>
      </c>
      <c r="L11" s="51" t="s">
        <v>80</v>
      </c>
      <c r="M11" s="51" t="s">
        <v>26</v>
      </c>
      <c r="N11" s="51" t="s">
        <v>287</v>
      </c>
      <c r="O11" s="59" t="str">
        <f t="shared" ca="1" si="8"/>
        <v>N/A</v>
      </c>
      <c r="P11" s="60" t="s">
        <v>190</v>
      </c>
      <c r="Q11" s="60" t="str">
        <f t="shared" si="9"/>
        <v>TBD</v>
      </c>
      <c r="R11" s="60">
        <f t="shared" si="10"/>
        <v>0</v>
      </c>
      <c r="S11" s="60" t="str">
        <f t="shared" ca="1" si="11"/>
        <v>No</v>
      </c>
    </row>
    <row r="12" spans="1:19" s="48" customFormat="1" hidden="1" x14ac:dyDescent="0.2">
      <c r="A12" s="51" t="s">
        <v>80</v>
      </c>
      <c r="B12" s="51" t="s">
        <v>294</v>
      </c>
      <c r="C12" s="56" t="s">
        <v>295</v>
      </c>
      <c r="D12" s="56" t="s">
        <v>296</v>
      </c>
      <c r="E12" s="56" t="s">
        <v>237</v>
      </c>
      <c r="F12" s="56" t="s">
        <v>253</v>
      </c>
      <c r="G12" s="56" t="s">
        <v>239</v>
      </c>
      <c r="H12" s="56" t="s">
        <v>297</v>
      </c>
      <c r="I12" s="56" t="s">
        <v>241</v>
      </c>
      <c r="J12" s="56" t="s">
        <v>298</v>
      </c>
      <c r="K12" s="56" t="s">
        <v>248</v>
      </c>
      <c r="L12" s="56" t="s">
        <v>242</v>
      </c>
      <c r="M12" s="56" t="s">
        <v>26</v>
      </c>
      <c r="N12" s="58" t="s">
        <v>299</v>
      </c>
      <c r="O12" s="59" t="str">
        <f t="shared" ca="1" si="8"/>
        <v>N/A</v>
      </c>
      <c r="P12" s="60" t="s">
        <v>190</v>
      </c>
      <c r="Q12" s="60" t="str">
        <f t="shared" si="9"/>
        <v>TBD</v>
      </c>
      <c r="R12" s="61">
        <f t="shared" si="10"/>
        <v>0</v>
      </c>
      <c r="S12" s="60" t="str">
        <f t="shared" ca="1" si="11"/>
        <v>No</v>
      </c>
    </row>
    <row r="13" spans="1:19" s="48" customFormat="1" ht="16.5" hidden="1" customHeight="1" x14ac:dyDescent="0.25">
      <c r="A13" s="51" t="s">
        <v>80</v>
      </c>
      <c r="B13" s="51" t="s">
        <v>305</v>
      </c>
      <c r="C13" s="51" t="s">
        <v>306</v>
      </c>
      <c r="D13" s="51" t="s">
        <v>307</v>
      </c>
      <c r="E13" s="51" t="s">
        <v>308</v>
      </c>
      <c r="F13" s="51" t="s">
        <v>238</v>
      </c>
      <c r="G13" s="53">
        <v>45809</v>
      </c>
      <c r="H13" s="53">
        <v>46173</v>
      </c>
      <c r="I13" s="51" t="s">
        <v>33</v>
      </c>
      <c r="J13" s="53">
        <v>46290</v>
      </c>
      <c r="K13" s="51" t="s">
        <v>25</v>
      </c>
      <c r="L13" s="51" t="s">
        <v>80</v>
      </c>
      <c r="M13" s="51" t="s">
        <v>26</v>
      </c>
      <c r="N13" s="51"/>
      <c r="O13" s="59">
        <f t="shared" ca="1" si="8"/>
        <v>172</v>
      </c>
      <c r="P13" s="60" t="s">
        <v>28</v>
      </c>
      <c r="Q13" s="60" t="str">
        <f t="shared" si="9"/>
        <v>Q3 2026</v>
      </c>
      <c r="R13" s="60">
        <f t="shared" si="10"/>
        <v>0</v>
      </c>
      <c r="S13" s="60" t="str">
        <f t="shared" ca="1" si="11"/>
        <v>No</v>
      </c>
    </row>
    <row r="14" spans="1:19" hidden="1" x14ac:dyDescent="0.2">
      <c r="A14" s="51" t="s">
        <v>80</v>
      </c>
      <c r="B14" s="51" t="s">
        <v>111</v>
      </c>
      <c r="C14" s="51" t="s">
        <v>112</v>
      </c>
      <c r="D14" s="54" t="s">
        <v>113</v>
      </c>
      <c r="E14" s="51" t="s">
        <v>22</v>
      </c>
      <c r="F14" s="51" t="s">
        <v>23</v>
      </c>
      <c r="G14" s="53">
        <v>45474</v>
      </c>
      <c r="H14" s="53">
        <v>45838</v>
      </c>
      <c r="I14" s="51" t="s">
        <v>33</v>
      </c>
      <c r="J14" s="53">
        <v>46112</v>
      </c>
      <c r="K14" s="51" t="s">
        <v>55</v>
      </c>
      <c r="L14" s="51" t="s">
        <v>258</v>
      </c>
      <c r="M14" s="51" t="s">
        <v>26</v>
      </c>
      <c r="N14" s="54" t="s">
        <v>114</v>
      </c>
      <c r="O14" s="59">
        <f t="shared" ca="1" si="8"/>
        <v>-6</v>
      </c>
      <c r="P14" s="60" t="s">
        <v>50</v>
      </c>
      <c r="Q14" s="60" t="str">
        <f t="shared" si="9"/>
        <v>Q1 2026</v>
      </c>
      <c r="R14" s="61">
        <f t="shared" si="10"/>
        <v>50</v>
      </c>
      <c r="S14" s="60" t="str">
        <f t="shared" ca="1" si="11"/>
        <v>⚠️ YES</v>
      </c>
    </row>
    <row r="15" spans="1:19" ht="22.5" hidden="1" x14ac:dyDescent="0.2">
      <c r="A15" s="51" t="s">
        <v>140</v>
      </c>
      <c r="B15" s="51" t="s">
        <v>141</v>
      </c>
      <c r="C15" s="51" t="s">
        <v>142</v>
      </c>
      <c r="D15" s="51" t="s">
        <v>143</v>
      </c>
      <c r="E15" s="51" t="s">
        <v>138</v>
      </c>
      <c r="F15" s="51" t="s">
        <v>23</v>
      </c>
      <c r="G15" s="53">
        <v>45292</v>
      </c>
      <c r="H15" s="53">
        <v>46022</v>
      </c>
      <c r="I15" s="51" t="s">
        <v>139</v>
      </c>
      <c r="J15" s="53">
        <v>46157</v>
      </c>
      <c r="K15" s="51" t="s">
        <v>25</v>
      </c>
      <c r="L15" s="51" t="s">
        <v>262</v>
      </c>
      <c r="M15" s="51" t="s">
        <v>144</v>
      </c>
      <c r="N15" s="54" t="s">
        <v>145</v>
      </c>
      <c r="O15" s="59">
        <f t="shared" ca="1" si="8"/>
        <v>39</v>
      </c>
      <c r="P15" s="60" t="s">
        <v>35</v>
      </c>
      <c r="Q15" s="60" t="str">
        <f t="shared" si="9"/>
        <v>Q2 2026</v>
      </c>
      <c r="R15" s="61">
        <f t="shared" si="10"/>
        <v>0</v>
      </c>
      <c r="S15" s="60" t="str">
        <f t="shared" ca="1" si="11"/>
        <v>No</v>
      </c>
    </row>
    <row r="16" spans="1:19" ht="22.5" hidden="1" x14ac:dyDescent="0.2">
      <c r="A16" s="54" t="s">
        <v>134</v>
      </c>
      <c r="B16" s="51" t="s">
        <v>135</v>
      </c>
      <c r="C16" s="51" t="s">
        <v>136</v>
      </c>
      <c r="D16" s="51" t="s">
        <v>137</v>
      </c>
      <c r="E16" s="51" t="s">
        <v>138</v>
      </c>
      <c r="F16" s="51" t="s">
        <v>23</v>
      </c>
      <c r="G16" s="53">
        <v>45292</v>
      </c>
      <c r="H16" s="53">
        <v>46022</v>
      </c>
      <c r="I16" s="51" t="s">
        <v>139</v>
      </c>
      <c r="J16" s="53">
        <v>46150</v>
      </c>
      <c r="K16" s="51" t="s">
        <v>25</v>
      </c>
      <c r="L16" s="51" t="s">
        <v>262</v>
      </c>
      <c r="M16" s="51" t="s">
        <v>26</v>
      </c>
      <c r="N16" s="54" t="s">
        <v>114</v>
      </c>
      <c r="O16" s="59">
        <f t="shared" ca="1" si="8"/>
        <v>32</v>
      </c>
      <c r="P16" s="60" t="s">
        <v>35</v>
      </c>
      <c r="Q16" s="60" t="str">
        <f t="shared" si="9"/>
        <v>Q2 2026</v>
      </c>
      <c r="R16" s="61">
        <f t="shared" si="10"/>
        <v>0</v>
      </c>
      <c r="S16" s="60" t="str">
        <f t="shared" ca="1" si="11"/>
        <v>No</v>
      </c>
    </row>
    <row r="17" spans="1:19" x14ac:dyDescent="0.2">
      <c r="A17" s="51" t="s">
        <v>80</v>
      </c>
      <c r="B17" s="51" t="s">
        <v>320</v>
      </c>
      <c r="C17" s="51" t="s">
        <v>321</v>
      </c>
      <c r="D17" s="51" t="s">
        <v>322</v>
      </c>
      <c r="E17" s="51" t="s">
        <v>308</v>
      </c>
      <c r="F17" s="51" t="s">
        <v>253</v>
      </c>
      <c r="G17" s="53">
        <v>45292</v>
      </c>
      <c r="H17" s="53">
        <v>46022</v>
      </c>
      <c r="I17" s="51" t="s">
        <v>33</v>
      </c>
      <c r="J17" s="53">
        <v>46094</v>
      </c>
      <c r="K17" s="51" t="s">
        <v>25</v>
      </c>
      <c r="L17" s="51" t="s">
        <v>313</v>
      </c>
      <c r="M17" s="51" t="s">
        <v>26</v>
      </c>
      <c r="N17" s="54" t="s">
        <v>323</v>
      </c>
      <c r="O17" s="59">
        <f t="shared" ca="1" si="8"/>
        <v>-24</v>
      </c>
      <c r="P17" s="60" t="s">
        <v>115</v>
      </c>
      <c r="Q17" s="60" t="str">
        <f t="shared" si="9"/>
        <v>Q1 2026</v>
      </c>
      <c r="R17" s="61">
        <f t="shared" si="10"/>
        <v>0</v>
      </c>
      <c r="S17" s="60" t="str">
        <f t="shared" ca="1" si="11"/>
        <v>⚠️ YES</v>
      </c>
    </row>
    <row r="18" spans="1:19" ht="33.75" x14ac:dyDescent="0.2">
      <c r="A18" s="51" t="s">
        <v>80</v>
      </c>
      <c r="B18" s="51" t="s">
        <v>259</v>
      </c>
      <c r="C18" s="51" t="s">
        <v>260</v>
      </c>
      <c r="D18" s="51" t="s">
        <v>261</v>
      </c>
      <c r="E18" s="51" t="s">
        <v>138</v>
      </c>
      <c r="F18" s="51" t="s">
        <v>253</v>
      </c>
      <c r="G18" s="53">
        <v>44621</v>
      </c>
      <c r="H18" s="53">
        <v>45808</v>
      </c>
      <c r="I18" s="51" t="s">
        <v>139</v>
      </c>
      <c r="J18" s="53">
        <v>46080</v>
      </c>
      <c r="K18" s="51" t="s">
        <v>248</v>
      </c>
      <c r="L18" s="51" t="s">
        <v>262</v>
      </c>
      <c r="M18" s="51" t="s">
        <v>26</v>
      </c>
      <c r="N18" s="54" t="s">
        <v>263</v>
      </c>
      <c r="O18" s="59">
        <f t="shared" ca="1" si="8"/>
        <v>-38</v>
      </c>
      <c r="P18" s="60" t="s">
        <v>115</v>
      </c>
      <c r="Q18" s="60" t="str">
        <f t="shared" si="9"/>
        <v>Q1 2026</v>
      </c>
      <c r="R18" s="61">
        <f t="shared" si="10"/>
        <v>0</v>
      </c>
      <c r="S18" s="60" t="str">
        <f t="shared" ca="1" si="11"/>
        <v>⚠️ YES</v>
      </c>
    </row>
    <row r="19" spans="1:19" x14ac:dyDescent="0.2">
      <c r="A19" s="51" t="s">
        <v>80</v>
      </c>
      <c r="B19" s="51" t="s">
        <v>344</v>
      </c>
      <c r="C19" s="51" t="s">
        <v>345</v>
      </c>
      <c r="D19" s="51" t="s">
        <v>346</v>
      </c>
      <c r="E19" s="51" t="s">
        <v>138</v>
      </c>
      <c r="F19" s="51" t="s">
        <v>238</v>
      </c>
      <c r="G19" s="53">
        <v>45108</v>
      </c>
      <c r="H19" s="53">
        <v>45838</v>
      </c>
      <c r="I19" s="51" t="s">
        <v>139</v>
      </c>
      <c r="J19" s="53">
        <v>46080</v>
      </c>
      <c r="K19" s="51" t="s">
        <v>55</v>
      </c>
      <c r="L19" s="51" t="s">
        <v>313</v>
      </c>
      <c r="M19" s="51" t="s">
        <v>26</v>
      </c>
      <c r="N19" s="54" t="s">
        <v>114</v>
      </c>
      <c r="O19" s="59">
        <f t="shared" ca="1" si="8"/>
        <v>-38</v>
      </c>
      <c r="P19" s="60" t="s">
        <v>115</v>
      </c>
      <c r="Q19" s="60" t="str">
        <f t="shared" si="9"/>
        <v>Q1 2026</v>
      </c>
      <c r="R19" s="61">
        <f t="shared" si="10"/>
        <v>50</v>
      </c>
      <c r="S19" s="60" t="str">
        <f t="shared" ca="1" si="11"/>
        <v>⚠️ YES</v>
      </c>
    </row>
    <row r="20" spans="1:19" hidden="1" x14ac:dyDescent="0.2">
      <c r="A20" s="51" t="s">
        <v>130</v>
      </c>
      <c r="B20" s="51" t="s">
        <v>131</v>
      </c>
      <c r="C20" s="51" t="s">
        <v>132</v>
      </c>
      <c r="D20" s="54" t="s">
        <v>133</v>
      </c>
      <c r="E20" s="51" t="s">
        <v>22</v>
      </c>
      <c r="F20" s="51" t="s">
        <v>23</v>
      </c>
      <c r="G20" s="53">
        <v>45839</v>
      </c>
      <c r="H20" s="53">
        <v>46203</v>
      </c>
      <c r="I20" s="51" t="s">
        <v>33</v>
      </c>
      <c r="J20" s="53">
        <v>46233</v>
      </c>
      <c r="K20" s="51" t="s">
        <v>25</v>
      </c>
      <c r="L20" s="51" t="s">
        <v>80</v>
      </c>
      <c r="M20" s="51" t="s">
        <v>26</v>
      </c>
      <c r="N20" s="51" t="s">
        <v>114</v>
      </c>
      <c r="O20" s="59">
        <f t="shared" ca="1" si="8"/>
        <v>115</v>
      </c>
      <c r="P20" s="60" t="s">
        <v>28</v>
      </c>
      <c r="Q20" s="60" t="str">
        <f t="shared" si="9"/>
        <v>Q3 2026</v>
      </c>
      <c r="R20" s="60">
        <f t="shared" si="10"/>
        <v>0</v>
      </c>
      <c r="S20" s="60" t="str">
        <f t="shared" ca="1" si="11"/>
        <v>No</v>
      </c>
    </row>
    <row r="21" spans="1:19" hidden="1" x14ac:dyDescent="0.2">
      <c r="A21" s="51" t="s">
        <v>80</v>
      </c>
      <c r="B21" s="51" t="s">
        <v>317</v>
      </c>
      <c r="C21" s="51" t="s">
        <v>318</v>
      </c>
      <c r="D21" s="51" t="s">
        <v>319</v>
      </c>
      <c r="E21" s="51" t="s">
        <v>138</v>
      </c>
      <c r="F21" s="51" t="s">
        <v>253</v>
      </c>
      <c r="G21" s="53">
        <v>45474</v>
      </c>
      <c r="H21" s="53">
        <v>46203</v>
      </c>
      <c r="I21" s="51" t="s">
        <v>139</v>
      </c>
      <c r="J21" s="53">
        <v>46233</v>
      </c>
      <c r="K21" s="51" t="s">
        <v>25</v>
      </c>
      <c r="L21" s="51" t="s">
        <v>80</v>
      </c>
      <c r="M21" s="51" t="s">
        <v>26</v>
      </c>
      <c r="N21" s="51"/>
      <c r="O21" s="59">
        <f t="shared" ca="1" si="8"/>
        <v>115</v>
      </c>
      <c r="P21" s="60" t="s">
        <v>28</v>
      </c>
      <c r="Q21" s="60" t="str">
        <f t="shared" si="9"/>
        <v>Q3 2026</v>
      </c>
      <c r="R21" s="60">
        <f t="shared" si="10"/>
        <v>0</v>
      </c>
      <c r="S21" s="60" t="str">
        <f t="shared" ca="1" si="11"/>
        <v>No</v>
      </c>
    </row>
    <row r="22" spans="1:19" x14ac:dyDescent="0.2">
      <c r="A22" s="51" t="s">
        <v>80</v>
      </c>
      <c r="B22" s="51" t="s">
        <v>309</v>
      </c>
      <c r="C22" s="51" t="s">
        <v>310</v>
      </c>
      <c r="D22" s="51" t="s">
        <v>311</v>
      </c>
      <c r="E22" s="51" t="s">
        <v>138</v>
      </c>
      <c r="F22" s="51" t="s">
        <v>80</v>
      </c>
      <c r="G22" s="53">
        <v>45047</v>
      </c>
      <c r="H22" s="53">
        <v>45777</v>
      </c>
      <c r="I22" s="51" t="s">
        <v>139</v>
      </c>
      <c r="J22" s="53">
        <v>46094</v>
      </c>
      <c r="K22" s="51" t="s">
        <v>55</v>
      </c>
      <c r="L22" s="51" t="s">
        <v>262</v>
      </c>
      <c r="M22" s="51" t="s">
        <v>26</v>
      </c>
      <c r="N22" s="54" t="s">
        <v>312</v>
      </c>
      <c r="O22" s="59">
        <f t="shared" ca="1" si="8"/>
        <v>-24</v>
      </c>
      <c r="P22" s="60" t="s">
        <v>115</v>
      </c>
      <c r="Q22" s="60" t="str">
        <f t="shared" si="9"/>
        <v>Q1 2026</v>
      </c>
      <c r="R22" s="61">
        <f t="shared" si="10"/>
        <v>50</v>
      </c>
      <c r="S22" s="60" t="str">
        <f t="shared" ca="1" si="11"/>
        <v>⚠️ YES</v>
      </c>
    </row>
    <row r="23" spans="1:19" s="49" customFormat="1" hidden="1" x14ac:dyDescent="0.2">
      <c r="A23" s="51" t="s">
        <v>80</v>
      </c>
      <c r="B23" s="51" t="s">
        <v>324</v>
      </c>
      <c r="C23" s="51" t="s">
        <v>325</v>
      </c>
      <c r="D23" s="51" t="s">
        <v>326</v>
      </c>
      <c r="E23" s="51" t="s">
        <v>308</v>
      </c>
      <c r="F23" s="51" t="s">
        <v>253</v>
      </c>
      <c r="G23" s="53">
        <v>45352</v>
      </c>
      <c r="H23" s="53">
        <v>46081</v>
      </c>
      <c r="I23" s="51" t="s">
        <v>33</v>
      </c>
      <c r="J23" s="53">
        <v>46164</v>
      </c>
      <c r="K23" s="51" t="s">
        <v>25</v>
      </c>
      <c r="L23" s="51" t="s">
        <v>313</v>
      </c>
      <c r="M23" s="51" t="s">
        <v>26</v>
      </c>
      <c r="N23" s="54" t="s">
        <v>114</v>
      </c>
      <c r="O23" s="59">
        <f t="shared" ca="1" si="8"/>
        <v>46</v>
      </c>
      <c r="P23" s="60" t="s">
        <v>35</v>
      </c>
      <c r="Q23" s="60" t="str">
        <f t="shared" si="9"/>
        <v>Q2 2026</v>
      </c>
      <c r="R23" s="61">
        <f t="shared" si="10"/>
        <v>0</v>
      </c>
      <c r="S23" s="60" t="str">
        <f t="shared" ca="1" si="11"/>
        <v>No</v>
      </c>
    </row>
    <row r="24" spans="1:19" s="49" customFormat="1" x14ac:dyDescent="0.2">
      <c r="A24" s="51" t="s">
        <v>80</v>
      </c>
      <c r="B24" s="51" t="s">
        <v>357</v>
      </c>
      <c r="C24" s="51" t="s">
        <v>358</v>
      </c>
      <c r="D24" s="51" t="s">
        <v>359</v>
      </c>
      <c r="E24" s="51" t="s">
        <v>138</v>
      </c>
      <c r="F24" s="51" t="s">
        <v>238</v>
      </c>
      <c r="G24" s="53">
        <v>44652</v>
      </c>
      <c r="H24" s="53">
        <v>45747</v>
      </c>
      <c r="I24" s="51" t="s">
        <v>139</v>
      </c>
      <c r="J24" s="53">
        <v>46073</v>
      </c>
      <c r="K24" s="51" t="s">
        <v>55</v>
      </c>
      <c r="L24" s="51" t="s">
        <v>313</v>
      </c>
      <c r="M24" s="51" t="s">
        <v>26</v>
      </c>
      <c r="N24" s="51" t="s">
        <v>360</v>
      </c>
      <c r="O24" s="59">
        <f t="shared" ca="1" si="8"/>
        <v>-45</v>
      </c>
      <c r="P24" s="60" t="s">
        <v>115</v>
      </c>
      <c r="Q24" s="60" t="str">
        <f t="shared" si="9"/>
        <v>Q1 2026</v>
      </c>
      <c r="R24" s="61">
        <f t="shared" si="10"/>
        <v>50</v>
      </c>
      <c r="S24" s="60" t="str">
        <f t="shared" ca="1" si="11"/>
        <v>⚠️ YES</v>
      </c>
    </row>
    <row r="25" spans="1:19" hidden="1" x14ac:dyDescent="0.2">
      <c r="A25" s="51" t="s">
        <v>80</v>
      </c>
      <c r="B25" s="51" t="s">
        <v>332</v>
      </c>
      <c r="C25" s="51" t="s">
        <v>333</v>
      </c>
      <c r="D25" s="51" t="s">
        <v>334</v>
      </c>
      <c r="E25" s="51" t="s">
        <v>138</v>
      </c>
      <c r="F25" s="51" t="s">
        <v>80</v>
      </c>
      <c r="G25" s="53">
        <v>45383</v>
      </c>
      <c r="H25" s="53">
        <v>46112</v>
      </c>
      <c r="I25" s="51" t="s">
        <v>139</v>
      </c>
      <c r="J25" s="53">
        <v>46186</v>
      </c>
      <c r="K25" s="51" t="s">
        <v>25</v>
      </c>
      <c r="L25" s="51" t="s">
        <v>262</v>
      </c>
      <c r="M25" s="51" t="s">
        <v>26</v>
      </c>
      <c r="N25" s="54" t="s">
        <v>114</v>
      </c>
      <c r="O25" s="59">
        <f t="shared" ca="1" si="8"/>
        <v>68</v>
      </c>
      <c r="P25" s="60" t="s">
        <v>28</v>
      </c>
      <c r="Q25" s="60" t="str">
        <f t="shared" si="9"/>
        <v>Q2 2026</v>
      </c>
      <c r="R25" s="61">
        <f t="shared" si="10"/>
        <v>0</v>
      </c>
      <c r="S25" s="60" t="str">
        <f t="shared" ca="1" si="11"/>
        <v>No</v>
      </c>
    </row>
    <row r="26" spans="1:19" hidden="1" x14ac:dyDescent="0.2">
      <c r="A26" s="51" t="s">
        <v>80</v>
      </c>
      <c r="B26" s="51" t="s">
        <v>335</v>
      </c>
      <c r="C26" s="51" t="s">
        <v>336</v>
      </c>
      <c r="D26" s="51" t="s">
        <v>337</v>
      </c>
      <c r="E26" s="51" t="s">
        <v>138</v>
      </c>
      <c r="F26" s="51" t="s">
        <v>80</v>
      </c>
      <c r="G26" s="53">
        <v>45505</v>
      </c>
      <c r="H26" s="53">
        <v>46234</v>
      </c>
      <c r="I26" s="51" t="s">
        <v>139</v>
      </c>
      <c r="J26" s="53">
        <v>46262</v>
      </c>
      <c r="K26" s="51" t="s">
        <v>25</v>
      </c>
      <c r="L26" s="51" t="s">
        <v>80</v>
      </c>
      <c r="M26" s="51" t="s">
        <v>26</v>
      </c>
      <c r="N26" s="51" t="s">
        <v>114</v>
      </c>
      <c r="O26" s="59">
        <f t="shared" ca="1" si="8"/>
        <v>144</v>
      </c>
      <c r="P26" s="60" t="s">
        <v>28</v>
      </c>
      <c r="Q26" s="60" t="str">
        <f t="shared" si="9"/>
        <v>Q3 2026</v>
      </c>
      <c r="R26" s="60">
        <f t="shared" si="10"/>
        <v>0</v>
      </c>
      <c r="S26" s="60" t="str">
        <f t="shared" ca="1" si="11"/>
        <v>No</v>
      </c>
    </row>
    <row r="27" spans="1:19" ht="15.75" customHeight="1" x14ac:dyDescent="0.2">
      <c r="A27" s="51" t="s">
        <v>80</v>
      </c>
      <c r="B27" s="51" t="s">
        <v>361</v>
      </c>
      <c r="C27" s="51" t="s">
        <v>362</v>
      </c>
      <c r="D27" s="51" t="s">
        <v>363</v>
      </c>
      <c r="E27" s="51" t="s">
        <v>308</v>
      </c>
      <c r="F27" s="51" t="s">
        <v>238</v>
      </c>
      <c r="G27" s="53">
        <v>45474</v>
      </c>
      <c r="H27" s="53">
        <v>45838</v>
      </c>
      <c r="I27" s="51" t="s">
        <v>33</v>
      </c>
      <c r="J27" s="53">
        <v>46087</v>
      </c>
      <c r="K27" s="51" t="s">
        <v>55</v>
      </c>
      <c r="L27" s="51" t="s">
        <v>242</v>
      </c>
      <c r="M27" s="51" t="s">
        <v>26</v>
      </c>
      <c r="N27" s="54" t="s">
        <v>114</v>
      </c>
      <c r="O27" s="59">
        <f t="shared" ca="1" si="8"/>
        <v>-31</v>
      </c>
      <c r="P27" s="60" t="s">
        <v>115</v>
      </c>
      <c r="Q27" s="60" t="str">
        <f t="shared" si="9"/>
        <v>Q1 2026</v>
      </c>
      <c r="R27" s="61">
        <f t="shared" si="10"/>
        <v>50</v>
      </c>
      <c r="S27" s="60" t="str">
        <f t="shared" ca="1" si="11"/>
        <v>⚠️ YES</v>
      </c>
    </row>
    <row r="28" spans="1:19" ht="16.5" hidden="1" customHeight="1" x14ac:dyDescent="0.2">
      <c r="A28" s="51" t="s">
        <v>80</v>
      </c>
      <c r="B28" s="51" t="s">
        <v>146</v>
      </c>
      <c r="C28" s="51" t="s">
        <v>147</v>
      </c>
      <c r="D28" s="51" t="s">
        <v>148</v>
      </c>
      <c r="E28" s="51" t="s">
        <v>138</v>
      </c>
      <c r="F28" s="51" t="s">
        <v>23</v>
      </c>
      <c r="G28" s="53">
        <v>45444</v>
      </c>
      <c r="H28" s="53">
        <v>46173</v>
      </c>
      <c r="I28" s="51" t="s">
        <v>139</v>
      </c>
      <c r="J28" s="53">
        <v>46199</v>
      </c>
      <c r="K28" s="51" t="s">
        <v>25</v>
      </c>
      <c r="L28" s="51" t="s">
        <v>262</v>
      </c>
      <c r="M28" s="51" t="s">
        <v>26</v>
      </c>
      <c r="N28" s="54" t="s">
        <v>114</v>
      </c>
      <c r="O28" s="59">
        <f t="shared" ca="1" si="8"/>
        <v>81</v>
      </c>
      <c r="P28" s="60" t="s">
        <v>28</v>
      </c>
      <c r="Q28" s="60" t="str">
        <f t="shared" si="9"/>
        <v>Q2 2026</v>
      </c>
      <c r="R28" s="61">
        <f t="shared" si="10"/>
        <v>0</v>
      </c>
      <c r="S28" s="60" t="str">
        <f t="shared" ca="1" si="11"/>
        <v>No</v>
      </c>
    </row>
    <row r="29" spans="1:19" s="49" customFormat="1" ht="21" hidden="1" customHeight="1" x14ac:dyDescent="0.2">
      <c r="A29" s="51" t="s">
        <v>80</v>
      </c>
      <c r="B29" s="51" t="s">
        <v>341</v>
      </c>
      <c r="C29" s="51" t="s">
        <v>342</v>
      </c>
      <c r="D29" s="51" t="s">
        <v>343</v>
      </c>
      <c r="E29" s="51" t="s">
        <v>138</v>
      </c>
      <c r="F29" s="51" t="s">
        <v>253</v>
      </c>
      <c r="G29" s="53">
        <v>45383</v>
      </c>
      <c r="H29" s="53">
        <v>46112</v>
      </c>
      <c r="I29" s="51" t="s">
        <v>139</v>
      </c>
      <c r="J29" s="53">
        <v>46179</v>
      </c>
      <c r="K29" s="51" t="s">
        <v>25</v>
      </c>
      <c r="L29" s="51" t="s">
        <v>313</v>
      </c>
      <c r="M29" s="51" t="s">
        <v>26</v>
      </c>
      <c r="N29" s="54" t="s">
        <v>114</v>
      </c>
      <c r="O29" s="59">
        <f t="shared" ca="1" si="8"/>
        <v>61</v>
      </c>
      <c r="P29" s="60" t="s">
        <v>28</v>
      </c>
      <c r="Q29" s="60" t="str">
        <f t="shared" si="9"/>
        <v>Q2 2026</v>
      </c>
      <c r="R29" s="61">
        <f t="shared" si="10"/>
        <v>0</v>
      </c>
      <c r="S29" s="60" t="str">
        <f t="shared" ca="1" si="11"/>
        <v>No</v>
      </c>
    </row>
    <row r="30" spans="1:19" hidden="1" x14ac:dyDescent="0.2">
      <c r="A30" s="51" t="s">
        <v>80</v>
      </c>
      <c r="B30" s="51" t="s">
        <v>364</v>
      </c>
      <c r="C30" s="51" t="s">
        <v>365</v>
      </c>
      <c r="D30" s="51" t="s">
        <v>366</v>
      </c>
      <c r="E30" s="51" t="s">
        <v>308</v>
      </c>
      <c r="F30" s="51" t="s">
        <v>238</v>
      </c>
      <c r="G30" s="53">
        <v>44652</v>
      </c>
      <c r="H30" s="53">
        <v>45991</v>
      </c>
      <c r="I30" s="51" t="s">
        <v>33</v>
      </c>
      <c r="J30" s="53">
        <v>46076</v>
      </c>
      <c r="K30" s="51" t="s">
        <v>41</v>
      </c>
      <c r="L30" s="51" t="s">
        <v>313</v>
      </c>
      <c r="M30" s="51" t="s">
        <v>26</v>
      </c>
      <c r="N30" s="54" t="s">
        <v>114</v>
      </c>
      <c r="O30" s="59" t="str">
        <f t="shared" ca="1" si="8"/>
        <v>-</v>
      </c>
      <c r="P30" s="60" t="s">
        <v>43</v>
      </c>
      <c r="Q30" s="60" t="str">
        <f t="shared" si="9"/>
        <v>Q1 2026</v>
      </c>
      <c r="R30" s="61">
        <f t="shared" si="10"/>
        <v>100</v>
      </c>
      <c r="S30" s="60" t="str">
        <f t="shared" ca="1" si="11"/>
        <v>No</v>
      </c>
    </row>
    <row r="31" spans="1:19" hidden="1" x14ac:dyDescent="0.2">
      <c r="A31" s="51" t="s">
        <v>80</v>
      </c>
      <c r="B31" s="51"/>
      <c r="C31" s="51" t="s">
        <v>347</v>
      </c>
      <c r="D31" s="51" t="s">
        <v>348</v>
      </c>
      <c r="E31" s="51" t="s">
        <v>237</v>
      </c>
      <c r="F31" s="51" t="s">
        <v>80</v>
      </c>
      <c r="G31" s="51"/>
      <c r="H31" s="53"/>
      <c r="I31" s="51" t="s">
        <v>80</v>
      </c>
      <c r="J31" s="53" t="s">
        <v>349</v>
      </c>
      <c r="K31" s="63" t="s">
        <v>25</v>
      </c>
      <c r="L31" s="51" t="s">
        <v>262</v>
      </c>
      <c r="M31" s="51" t="s">
        <v>26</v>
      </c>
      <c r="N31" s="54" t="s">
        <v>283</v>
      </c>
      <c r="O31" s="59" t="str">
        <f t="shared" ca="1" si="8"/>
        <v>N/A</v>
      </c>
      <c r="P31" s="60" t="s">
        <v>190</v>
      </c>
      <c r="Q31" s="60" t="str">
        <f t="shared" si="9"/>
        <v>TBD</v>
      </c>
      <c r="R31" s="61">
        <f t="shared" si="10"/>
        <v>0</v>
      </c>
      <c r="S31" s="60" t="str">
        <f t="shared" ca="1" si="11"/>
        <v>No</v>
      </c>
    </row>
    <row r="32" spans="1:19" hidden="1" x14ac:dyDescent="0.2">
      <c r="A32" s="51" t="s">
        <v>80</v>
      </c>
      <c r="B32" s="51" t="s">
        <v>350</v>
      </c>
      <c r="C32" s="51" t="s">
        <v>351</v>
      </c>
      <c r="D32" s="51" t="s">
        <v>352</v>
      </c>
      <c r="E32" s="51" t="s">
        <v>138</v>
      </c>
      <c r="F32" s="51" t="s">
        <v>238</v>
      </c>
      <c r="G32" s="53">
        <v>45474</v>
      </c>
      <c r="H32" s="53">
        <v>46203</v>
      </c>
      <c r="I32" s="51" t="s">
        <v>139</v>
      </c>
      <c r="J32" s="53">
        <v>46241</v>
      </c>
      <c r="K32" s="51" t="s">
        <v>25</v>
      </c>
      <c r="L32" s="51" t="s">
        <v>80</v>
      </c>
      <c r="M32" s="51" t="s">
        <v>26</v>
      </c>
      <c r="N32" s="51" t="s">
        <v>114</v>
      </c>
      <c r="O32" s="59">
        <f t="shared" ca="1" si="8"/>
        <v>123</v>
      </c>
      <c r="P32" s="60" t="s">
        <v>28</v>
      </c>
      <c r="Q32" s="60" t="str">
        <f t="shared" si="9"/>
        <v>Q3 2026</v>
      </c>
      <c r="R32" s="60">
        <f t="shared" si="10"/>
        <v>0</v>
      </c>
      <c r="S32" s="60" t="str">
        <f t="shared" ca="1" si="11"/>
        <v>No</v>
      </c>
    </row>
    <row r="33" spans="1:19" s="49" customFormat="1" x14ac:dyDescent="0.2">
      <c r="A33" s="51" t="s">
        <v>80</v>
      </c>
      <c r="B33" s="51" t="s">
        <v>314</v>
      </c>
      <c r="C33" s="51" t="s">
        <v>315</v>
      </c>
      <c r="D33" s="51" t="s">
        <v>316</v>
      </c>
      <c r="E33" s="51" t="s">
        <v>138</v>
      </c>
      <c r="F33" s="51" t="s">
        <v>238</v>
      </c>
      <c r="G33" s="53">
        <v>45139</v>
      </c>
      <c r="H33" s="53">
        <v>45869</v>
      </c>
      <c r="I33" s="51" t="s">
        <v>139</v>
      </c>
      <c r="J33" s="53">
        <v>46108</v>
      </c>
      <c r="K33" s="51" t="s">
        <v>55</v>
      </c>
      <c r="L33" s="51" t="s">
        <v>262</v>
      </c>
      <c r="M33" s="51" t="s">
        <v>26</v>
      </c>
      <c r="N33" s="54" t="s">
        <v>114</v>
      </c>
      <c r="O33" s="59">
        <f t="shared" ca="1" si="8"/>
        <v>-10</v>
      </c>
      <c r="P33" s="60" t="s">
        <v>115</v>
      </c>
      <c r="Q33" s="60" t="str">
        <f t="shared" si="9"/>
        <v>Q1 2026</v>
      </c>
      <c r="R33" s="61">
        <f t="shared" si="10"/>
        <v>50</v>
      </c>
      <c r="S33" s="60" t="str">
        <f t="shared" ca="1" si="11"/>
        <v>⚠️ YES</v>
      </c>
    </row>
    <row r="34" spans="1:19" s="49" customFormat="1" hidden="1" x14ac:dyDescent="0.2">
      <c r="A34" s="51" t="s">
        <v>80</v>
      </c>
      <c r="B34" s="51" t="s">
        <v>264</v>
      </c>
      <c r="C34" s="56" t="s">
        <v>265</v>
      </c>
      <c r="D34" s="56" t="s">
        <v>367</v>
      </c>
      <c r="E34" s="56" t="s">
        <v>237</v>
      </c>
      <c r="F34" s="56" t="s">
        <v>238</v>
      </c>
      <c r="G34" s="56" t="s">
        <v>281</v>
      </c>
      <c r="H34" s="56" t="s">
        <v>281</v>
      </c>
      <c r="I34" s="56" t="s">
        <v>80</v>
      </c>
      <c r="J34" s="56" t="s">
        <v>368</v>
      </c>
      <c r="K34" s="56" t="s">
        <v>25</v>
      </c>
      <c r="L34" s="56" t="s">
        <v>262</v>
      </c>
      <c r="M34" s="56" t="s">
        <v>26</v>
      </c>
      <c r="N34" s="58" t="s">
        <v>114</v>
      </c>
      <c r="O34" s="59" t="str">
        <f t="shared" ca="1" si="8"/>
        <v>N/A</v>
      </c>
      <c r="P34" s="60" t="s">
        <v>190</v>
      </c>
      <c r="Q34" s="60" t="str">
        <f t="shared" si="9"/>
        <v>TBD</v>
      </c>
      <c r="R34" s="61">
        <f t="shared" si="10"/>
        <v>0</v>
      </c>
      <c r="S34" s="60" t="str">
        <f t="shared" ca="1" si="11"/>
        <v>No</v>
      </c>
    </row>
    <row r="35" spans="1:19" s="49" customFormat="1" hidden="1" x14ac:dyDescent="0.2">
      <c r="A35" s="51" t="s">
        <v>80</v>
      </c>
      <c r="B35" s="51" t="s">
        <v>369</v>
      </c>
      <c r="C35" s="51" t="s">
        <v>370</v>
      </c>
      <c r="D35" s="51" t="s">
        <v>371</v>
      </c>
      <c r="E35" s="51" t="s">
        <v>237</v>
      </c>
      <c r="F35" s="51" t="s">
        <v>238</v>
      </c>
      <c r="G35" s="51"/>
      <c r="H35" s="53"/>
      <c r="I35" s="51" t="s">
        <v>241</v>
      </c>
      <c r="J35" s="53" t="s">
        <v>372</v>
      </c>
      <c r="K35" s="63" t="s">
        <v>25</v>
      </c>
      <c r="L35" s="51" t="s">
        <v>262</v>
      </c>
      <c r="M35" s="51" t="s">
        <v>26</v>
      </c>
      <c r="N35" s="54" t="s">
        <v>283</v>
      </c>
      <c r="O35" s="59" t="str">
        <f t="shared" ca="1" si="8"/>
        <v>N/A</v>
      </c>
      <c r="P35" s="60" t="s">
        <v>190</v>
      </c>
      <c r="Q35" s="60" t="str">
        <f t="shared" si="9"/>
        <v>TBD</v>
      </c>
      <c r="R35" s="61">
        <f t="shared" si="10"/>
        <v>0</v>
      </c>
      <c r="S35" s="60" t="str">
        <f t="shared" ca="1" si="11"/>
        <v>No</v>
      </c>
    </row>
    <row r="36" spans="1:19" ht="31.5" hidden="1" customHeight="1" x14ac:dyDescent="0.2">
      <c r="A36" s="65" t="s">
        <v>80</v>
      </c>
      <c r="B36" s="51" t="s">
        <v>373</v>
      </c>
      <c r="C36" s="51" t="s">
        <v>374</v>
      </c>
      <c r="D36" s="54" t="s">
        <v>375</v>
      </c>
      <c r="E36" s="51" t="s">
        <v>308</v>
      </c>
      <c r="F36" s="51" t="s">
        <v>238</v>
      </c>
      <c r="G36" s="53">
        <v>44652</v>
      </c>
      <c r="H36" s="53">
        <v>46022</v>
      </c>
      <c r="I36" s="51" t="s">
        <v>33</v>
      </c>
      <c r="J36" s="51" t="s">
        <v>376</v>
      </c>
      <c r="K36" s="63" t="s">
        <v>41</v>
      </c>
      <c r="L36" s="51" t="s">
        <v>242</v>
      </c>
      <c r="M36" s="51" t="s">
        <v>26</v>
      </c>
      <c r="N36" s="64" t="s">
        <v>377</v>
      </c>
      <c r="O36" s="59" t="str">
        <f t="shared" ca="1" si="8"/>
        <v>-</v>
      </c>
      <c r="P36" s="60" t="s">
        <v>43</v>
      </c>
      <c r="Q36" s="60" t="str">
        <f t="shared" si="9"/>
        <v>TBD</v>
      </c>
      <c r="R36" s="61">
        <f t="shared" si="10"/>
        <v>100</v>
      </c>
      <c r="S36" s="60" t="str">
        <f t="shared" ca="1" si="11"/>
        <v>No</v>
      </c>
    </row>
    <row r="37" spans="1:19" ht="29.25" customHeight="1" x14ac:dyDescent="0.2">
      <c r="A37" s="51" t="s">
        <v>80</v>
      </c>
      <c r="B37" s="51" t="s">
        <v>398</v>
      </c>
      <c r="C37" s="51" t="s">
        <v>399</v>
      </c>
      <c r="D37" s="51" t="s">
        <v>400</v>
      </c>
      <c r="E37" s="51" t="s">
        <v>308</v>
      </c>
      <c r="F37" s="51" t="s">
        <v>238</v>
      </c>
      <c r="G37" s="53">
        <v>45536</v>
      </c>
      <c r="H37" s="53">
        <v>45900</v>
      </c>
      <c r="I37" s="51" t="s">
        <v>33</v>
      </c>
      <c r="J37" s="53">
        <v>46080</v>
      </c>
      <c r="K37" s="51" t="s">
        <v>248</v>
      </c>
      <c r="L37" s="51" t="s">
        <v>242</v>
      </c>
      <c r="M37" s="51" t="s">
        <v>26</v>
      </c>
      <c r="N37" s="54"/>
      <c r="O37" s="59">
        <f t="shared" ref="O37:O64" ca="1" si="12">IF(K37="Completed","-",IF(ISNUMBER(J37),J37-TODAY(),"N/A"))</f>
        <v>-38</v>
      </c>
      <c r="P37" s="60" t="s">
        <v>115</v>
      </c>
      <c r="Q37" s="60" t="str">
        <f t="shared" ref="Q37:Q64" si="13">IF(ISNUMBER(J37),"Q"&amp;INT((MONTH(J37)-1)/3)+1&amp;" "&amp;YEAR(J37),"TBD")</f>
        <v>Q1 2026</v>
      </c>
      <c r="R37" s="61">
        <f t="shared" ref="R37:R64" si="14">IF(K37="Completed",100,IF(K37="In progress",50,IF(K37="Assigned",25,IF(K37="Not Started",0,IF(K37="TBD",0,0)))))</f>
        <v>0</v>
      </c>
      <c r="S37" s="60" t="str">
        <f t="shared" ref="S37:S64" ca="1" si="15">IF(AND(ISNUMBER(O37),O37&lt;0,K37&lt;&gt;"Completed"),"⚠️ YES","No")</f>
        <v>⚠️ YES</v>
      </c>
    </row>
    <row r="38" spans="1:19" x14ac:dyDescent="0.2">
      <c r="A38" s="65" t="s">
        <v>80</v>
      </c>
      <c r="B38" s="51" t="s">
        <v>378</v>
      </c>
      <c r="C38" s="51" t="s">
        <v>379</v>
      </c>
      <c r="D38" s="51" t="s">
        <v>380</v>
      </c>
      <c r="E38" s="51" t="s">
        <v>237</v>
      </c>
      <c r="F38" s="51" t="s">
        <v>80</v>
      </c>
      <c r="G38" s="51"/>
      <c r="H38" s="53"/>
      <c r="I38" s="51" t="s">
        <v>80</v>
      </c>
      <c r="J38" s="53">
        <v>46101</v>
      </c>
      <c r="K38" s="63" t="s">
        <v>55</v>
      </c>
      <c r="L38" s="51" t="s">
        <v>242</v>
      </c>
      <c r="M38" s="51" t="s">
        <v>26</v>
      </c>
      <c r="N38" s="64" t="s">
        <v>283</v>
      </c>
      <c r="O38" s="59">
        <f t="shared" ca="1" si="12"/>
        <v>-17</v>
      </c>
      <c r="P38" s="60" t="s">
        <v>115</v>
      </c>
      <c r="Q38" s="60" t="str">
        <f t="shared" si="13"/>
        <v>Q1 2026</v>
      </c>
      <c r="R38" s="61">
        <f t="shared" si="14"/>
        <v>50</v>
      </c>
      <c r="S38" s="60" t="str">
        <f t="shared" ca="1" si="15"/>
        <v>⚠️ YES</v>
      </c>
    </row>
    <row r="39" spans="1:19" hidden="1" x14ac:dyDescent="0.2">
      <c r="A39" s="51" t="s">
        <v>80</v>
      </c>
      <c r="B39" s="51" t="s">
        <v>381</v>
      </c>
      <c r="C39" s="51" t="s">
        <v>382</v>
      </c>
      <c r="D39" s="51" t="s">
        <v>383</v>
      </c>
      <c r="E39" s="51" t="s">
        <v>384</v>
      </c>
      <c r="F39" s="51" t="s">
        <v>238</v>
      </c>
      <c r="G39" s="53">
        <v>45839</v>
      </c>
      <c r="H39" s="53">
        <v>46203</v>
      </c>
      <c r="I39" s="51" t="s">
        <v>33</v>
      </c>
      <c r="J39" s="53">
        <v>46234</v>
      </c>
      <c r="K39" s="51" t="s">
        <v>25</v>
      </c>
      <c r="L39" s="51" t="s">
        <v>80</v>
      </c>
      <c r="M39" s="51" t="s">
        <v>26</v>
      </c>
      <c r="N39" s="66"/>
      <c r="O39" s="59">
        <f t="shared" ca="1" si="12"/>
        <v>116</v>
      </c>
      <c r="P39" s="60" t="s">
        <v>28</v>
      </c>
      <c r="Q39" s="60" t="str">
        <f t="shared" si="13"/>
        <v>Q3 2026</v>
      </c>
      <c r="R39" s="60">
        <f t="shared" si="14"/>
        <v>0</v>
      </c>
      <c r="S39" s="60" t="str">
        <f t="shared" ca="1" si="15"/>
        <v>No</v>
      </c>
    </row>
    <row r="40" spans="1:19" hidden="1" x14ac:dyDescent="0.2">
      <c r="A40" s="51" t="s">
        <v>80</v>
      </c>
      <c r="B40" s="51" t="s">
        <v>385</v>
      </c>
      <c r="C40" s="51" t="s">
        <v>386</v>
      </c>
      <c r="D40" s="51" t="s">
        <v>387</v>
      </c>
      <c r="E40" s="51" t="s">
        <v>237</v>
      </c>
      <c r="F40" s="51" t="s">
        <v>238</v>
      </c>
      <c r="G40" s="51"/>
      <c r="H40" s="53"/>
      <c r="I40" s="51" t="s">
        <v>241</v>
      </c>
      <c r="J40" s="51" t="s">
        <v>388</v>
      </c>
      <c r="K40" s="63" t="s">
        <v>25</v>
      </c>
      <c r="L40" s="51" t="s">
        <v>242</v>
      </c>
      <c r="M40" s="51" t="s">
        <v>26</v>
      </c>
      <c r="N40" s="64" t="s">
        <v>389</v>
      </c>
      <c r="O40" s="59" t="str">
        <f t="shared" ca="1" si="12"/>
        <v>N/A</v>
      </c>
      <c r="P40" s="60" t="s">
        <v>190</v>
      </c>
      <c r="Q40" s="60" t="str">
        <f t="shared" si="13"/>
        <v>TBD</v>
      </c>
      <c r="R40" s="61">
        <f t="shared" si="14"/>
        <v>0</v>
      </c>
      <c r="S40" s="60" t="str">
        <f t="shared" ca="1" si="15"/>
        <v>No</v>
      </c>
    </row>
    <row r="41" spans="1:19" hidden="1" x14ac:dyDescent="0.2">
      <c r="A41" s="51" t="s">
        <v>80</v>
      </c>
      <c r="B41" s="51" t="s">
        <v>390</v>
      </c>
      <c r="C41" s="51" t="s">
        <v>391</v>
      </c>
      <c r="D41" s="51" t="s">
        <v>392</v>
      </c>
      <c r="E41" s="51" t="s">
        <v>237</v>
      </c>
      <c r="F41" s="51" t="s">
        <v>238</v>
      </c>
      <c r="G41" s="51"/>
      <c r="H41" s="53"/>
      <c r="I41" s="51" t="s">
        <v>241</v>
      </c>
      <c r="J41" s="51" t="s">
        <v>393</v>
      </c>
      <c r="K41" s="63" t="s">
        <v>25</v>
      </c>
      <c r="L41" s="51" t="s">
        <v>313</v>
      </c>
      <c r="M41" s="51" t="s">
        <v>26</v>
      </c>
      <c r="N41" s="64" t="s">
        <v>114</v>
      </c>
      <c r="O41" s="59" t="str">
        <f t="shared" ca="1" si="12"/>
        <v>N/A</v>
      </c>
      <c r="P41" s="60" t="s">
        <v>190</v>
      </c>
      <c r="Q41" s="60" t="str">
        <f t="shared" si="13"/>
        <v>TBD</v>
      </c>
      <c r="R41" s="61">
        <f t="shared" si="14"/>
        <v>0</v>
      </c>
      <c r="S41" s="60" t="str">
        <f t="shared" ca="1" si="15"/>
        <v>No</v>
      </c>
    </row>
    <row r="42" spans="1:19" hidden="1" x14ac:dyDescent="0.2">
      <c r="A42" s="51" t="s">
        <v>80</v>
      </c>
      <c r="B42" s="51" t="s">
        <v>302</v>
      </c>
      <c r="C42" s="51" t="s">
        <v>303</v>
      </c>
      <c r="D42" s="51" t="s">
        <v>304</v>
      </c>
      <c r="E42" s="51" t="s">
        <v>22</v>
      </c>
      <c r="F42" s="51" t="s">
        <v>253</v>
      </c>
      <c r="G42" s="53">
        <v>45748</v>
      </c>
      <c r="H42" s="53">
        <v>46112</v>
      </c>
      <c r="I42" s="51" t="s">
        <v>33</v>
      </c>
      <c r="J42" s="53">
        <v>46203</v>
      </c>
      <c r="K42" s="51" t="s">
        <v>25</v>
      </c>
      <c r="L42" s="51" t="s">
        <v>258</v>
      </c>
      <c r="M42" s="51" t="s">
        <v>26</v>
      </c>
      <c r="N42" s="64" t="s">
        <v>114</v>
      </c>
      <c r="O42" s="59">
        <f t="shared" ca="1" si="12"/>
        <v>85</v>
      </c>
      <c r="P42" s="60" t="s">
        <v>28</v>
      </c>
      <c r="Q42" s="60" t="str">
        <f t="shared" si="13"/>
        <v>Q2 2026</v>
      </c>
      <c r="R42" s="61">
        <f t="shared" si="14"/>
        <v>0</v>
      </c>
      <c r="S42" s="60" t="str">
        <f t="shared" ca="1" si="15"/>
        <v>No</v>
      </c>
    </row>
    <row r="43" spans="1:19" hidden="1" x14ac:dyDescent="0.2">
      <c r="A43" s="51" t="s">
        <v>80</v>
      </c>
      <c r="B43" s="51" t="s">
        <v>401</v>
      </c>
      <c r="C43" s="51" t="s">
        <v>402</v>
      </c>
      <c r="D43" s="51" t="s">
        <v>403</v>
      </c>
      <c r="E43" s="51" t="s">
        <v>138</v>
      </c>
      <c r="F43" s="51" t="s">
        <v>238</v>
      </c>
      <c r="G43" s="53">
        <v>45474</v>
      </c>
      <c r="H43" s="53">
        <v>46203</v>
      </c>
      <c r="I43" s="51" t="s">
        <v>139</v>
      </c>
      <c r="J43" s="53">
        <v>46228</v>
      </c>
      <c r="K43" s="51" t="s">
        <v>25</v>
      </c>
      <c r="L43" s="51" t="s">
        <v>80</v>
      </c>
      <c r="M43" s="51" t="s">
        <v>26</v>
      </c>
      <c r="N43" s="66"/>
      <c r="O43" s="59">
        <f t="shared" ca="1" si="12"/>
        <v>110</v>
      </c>
      <c r="P43" s="60" t="s">
        <v>28</v>
      </c>
      <c r="Q43" s="60" t="str">
        <f t="shared" si="13"/>
        <v>Q3 2026</v>
      </c>
      <c r="R43" s="60">
        <f t="shared" si="14"/>
        <v>0</v>
      </c>
      <c r="S43" s="60" t="str">
        <f t="shared" ca="1" si="15"/>
        <v>No</v>
      </c>
    </row>
    <row r="44" spans="1:19" hidden="1" x14ac:dyDescent="0.2">
      <c r="A44" s="51" t="s">
        <v>80</v>
      </c>
      <c r="B44" s="51" t="s">
        <v>404</v>
      </c>
      <c r="C44" s="51" t="s">
        <v>405</v>
      </c>
      <c r="D44" s="51" t="s">
        <v>406</v>
      </c>
      <c r="E44" s="51" t="s">
        <v>138</v>
      </c>
      <c r="F44" s="51" t="s">
        <v>238</v>
      </c>
      <c r="G44" s="53">
        <v>45536</v>
      </c>
      <c r="H44" s="53">
        <v>46265</v>
      </c>
      <c r="I44" s="51" t="s">
        <v>139</v>
      </c>
      <c r="J44" s="53">
        <v>46332</v>
      </c>
      <c r="K44" s="51" t="s">
        <v>25</v>
      </c>
      <c r="L44" s="51" t="s">
        <v>80</v>
      </c>
      <c r="M44" s="51" t="s">
        <v>26</v>
      </c>
      <c r="N44" s="66"/>
      <c r="O44" s="59">
        <f t="shared" ca="1" si="12"/>
        <v>214</v>
      </c>
      <c r="P44" s="60" t="s">
        <v>28</v>
      </c>
      <c r="Q44" s="60" t="str">
        <f t="shared" si="13"/>
        <v>Q4 2026</v>
      </c>
      <c r="R44" s="60">
        <f t="shared" si="14"/>
        <v>0</v>
      </c>
      <c r="S44" s="60" t="str">
        <f t="shared" ca="1" si="15"/>
        <v>No</v>
      </c>
    </row>
    <row r="45" spans="1:19" s="45" customFormat="1" ht="22.5" hidden="1" x14ac:dyDescent="0.25">
      <c r="A45" s="51" t="s">
        <v>80</v>
      </c>
      <c r="B45" s="51" t="s">
        <v>407</v>
      </c>
      <c r="C45" s="51" t="s">
        <v>408</v>
      </c>
      <c r="D45" s="51" t="s">
        <v>409</v>
      </c>
      <c r="E45" s="51" t="s">
        <v>138</v>
      </c>
      <c r="F45" s="51" t="s">
        <v>80</v>
      </c>
      <c r="G45" s="51"/>
      <c r="H45" s="53"/>
      <c r="I45" s="51" t="s">
        <v>139</v>
      </c>
      <c r="J45" s="51" t="s">
        <v>410</v>
      </c>
      <c r="K45" s="63" t="s">
        <v>55</v>
      </c>
      <c r="L45" s="51" t="s">
        <v>242</v>
      </c>
      <c r="M45" s="51" t="s">
        <v>26</v>
      </c>
      <c r="N45" s="54" t="s">
        <v>411</v>
      </c>
      <c r="O45" s="59" t="str">
        <f t="shared" ca="1" si="12"/>
        <v>N/A</v>
      </c>
      <c r="P45" s="60" t="s">
        <v>190</v>
      </c>
      <c r="Q45" s="60" t="str">
        <f t="shared" si="13"/>
        <v>TBD</v>
      </c>
      <c r="R45" s="67">
        <f t="shared" si="14"/>
        <v>50</v>
      </c>
      <c r="S45" s="51" t="str">
        <f t="shared" ca="1" si="15"/>
        <v>No</v>
      </c>
    </row>
    <row r="46" spans="1:19" s="45" customFormat="1" ht="22.5" hidden="1" x14ac:dyDescent="0.25">
      <c r="A46" s="51" t="s">
        <v>80</v>
      </c>
      <c r="B46" s="51" t="s">
        <v>407</v>
      </c>
      <c r="C46" s="51" t="s">
        <v>412</v>
      </c>
      <c r="D46" s="51" t="s">
        <v>413</v>
      </c>
      <c r="E46" s="51" t="s">
        <v>237</v>
      </c>
      <c r="F46" s="51" t="s">
        <v>80</v>
      </c>
      <c r="G46" s="51"/>
      <c r="H46" s="53"/>
      <c r="I46" s="51" t="s">
        <v>80</v>
      </c>
      <c r="J46" s="51" t="s">
        <v>410</v>
      </c>
      <c r="K46" s="63" t="s">
        <v>55</v>
      </c>
      <c r="L46" s="51" t="s">
        <v>242</v>
      </c>
      <c r="M46" s="51" t="s">
        <v>26</v>
      </c>
      <c r="N46" s="54" t="s">
        <v>411</v>
      </c>
      <c r="O46" s="59" t="str">
        <f t="shared" ca="1" si="12"/>
        <v>N/A</v>
      </c>
      <c r="P46" s="60" t="s">
        <v>190</v>
      </c>
      <c r="Q46" s="60" t="str">
        <f t="shared" si="13"/>
        <v>TBD</v>
      </c>
      <c r="R46" s="67">
        <f t="shared" si="14"/>
        <v>50</v>
      </c>
      <c r="S46" s="51" t="str">
        <f t="shared" ca="1" si="15"/>
        <v>No</v>
      </c>
    </row>
    <row r="47" spans="1:19" s="45" customFormat="1" hidden="1" x14ac:dyDescent="0.25">
      <c r="A47" s="51" t="s">
        <v>80</v>
      </c>
      <c r="B47" s="51" t="s">
        <v>168</v>
      </c>
      <c r="C47" s="51" t="s">
        <v>169</v>
      </c>
      <c r="D47" s="51" t="s">
        <v>170</v>
      </c>
      <c r="E47" s="51" t="s">
        <v>22</v>
      </c>
      <c r="F47" s="51" t="s">
        <v>171</v>
      </c>
      <c r="G47" s="53">
        <v>45839</v>
      </c>
      <c r="H47" s="53">
        <v>46203</v>
      </c>
      <c r="I47" s="51" t="s">
        <v>33</v>
      </c>
      <c r="J47" s="53">
        <v>46233</v>
      </c>
      <c r="K47" s="51" t="s">
        <v>25</v>
      </c>
      <c r="L47" s="51" t="s">
        <v>80</v>
      </c>
      <c r="M47" s="51" t="s">
        <v>26</v>
      </c>
      <c r="N47" s="51"/>
      <c r="O47" s="59">
        <f t="shared" ca="1" si="12"/>
        <v>115</v>
      </c>
      <c r="P47" s="60" t="s">
        <v>28</v>
      </c>
      <c r="Q47" s="60" t="str">
        <f t="shared" si="13"/>
        <v>Q3 2026</v>
      </c>
      <c r="R47" s="51">
        <f t="shared" si="14"/>
        <v>0</v>
      </c>
      <c r="S47" s="51" t="str">
        <f t="shared" ca="1" si="15"/>
        <v>No</v>
      </c>
    </row>
    <row r="48" spans="1:19" s="45" customFormat="1" hidden="1" x14ac:dyDescent="0.25">
      <c r="A48" s="51" t="s">
        <v>80</v>
      </c>
      <c r="B48" s="51" t="s">
        <v>172</v>
      </c>
      <c r="C48" s="51" t="s">
        <v>173</v>
      </c>
      <c r="D48" s="51" t="s">
        <v>174</v>
      </c>
      <c r="E48" s="51" t="s">
        <v>22</v>
      </c>
      <c r="F48" s="51" t="s">
        <v>171</v>
      </c>
      <c r="G48" s="53">
        <v>45839</v>
      </c>
      <c r="H48" s="53">
        <v>46203</v>
      </c>
      <c r="I48" s="51" t="s">
        <v>33</v>
      </c>
      <c r="J48" s="53">
        <v>46255</v>
      </c>
      <c r="K48" s="51" t="s">
        <v>25</v>
      </c>
      <c r="L48" s="51" t="s">
        <v>80</v>
      </c>
      <c r="M48" s="51" t="s">
        <v>26</v>
      </c>
      <c r="N48" s="51"/>
      <c r="O48" s="59">
        <f t="shared" ca="1" si="12"/>
        <v>137</v>
      </c>
      <c r="P48" s="60" t="s">
        <v>28</v>
      </c>
      <c r="Q48" s="60" t="str">
        <f t="shared" si="13"/>
        <v>Q3 2026</v>
      </c>
      <c r="R48" s="51">
        <f t="shared" si="14"/>
        <v>0</v>
      </c>
      <c r="S48" s="51" t="str">
        <f t="shared" ca="1" si="15"/>
        <v>No</v>
      </c>
    </row>
    <row r="49" spans="1:19" s="45" customFormat="1" hidden="1" x14ac:dyDescent="0.25">
      <c r="A49" s="51" t="s">
        <v>80</v>
      </c>
      <c r="B49" s="51" t="s">
        <v>175</v>
      </c>
      <c r="C49" s="51" t="s">
        <v>176</v>
      </c>
      <c r="D49" s="51" t="s">
        <v>177</v>
      </c>
      <c r="E49" s="51" t="s">
        <v>22</v>
      </c>
      <c r="F49" s="51" t="s">
        <v>171</v>
      </c>
      <c r="G49" s="53">
        <v>45839</v>
      </c>
      <c r="H49" s="53">
        <v>46203</v>
      </c>
      <c r="I49" s="51" t="s">
        <v>33</v>
      </c>
      <c r="J49" s="53">
        <v>46262</v>
      </c>
      <c r="K49" s="51" t="s">
        <v>25</v>
      </c>
      <c r="L49" s="51" t="s">
        <v>80</v>
      </c>
      <c r="M49" s="51" t="s">
        <v>26</v>
      </c>
      <c r="N49" s="51"/>
      <c r="O49" s="59">
        <f t="shared" ca="1" si="12"/>
        <v>144</v>
      </c>
      <c r="P49" s="60" t="s">
        <v>28</v>
      </c>
      <c r="Q49" s="60" t="str">
        <f t="shared" si="13"/>
        <v>Q3 2026</v>
      </c>
      <c r="R49" s="51">
        <f t="shared" si="14"/>
        <v>0</v>
      </c>
      <c r="S49" s="51" t="str">
        <f t="shared" ca="1" si="15"/>
        <v>No</v>
      </c>
    </row>
    <row r="50" spans="1:19" s="45" customFormat="1" hidden="1" x14ac:dyDescent="0.25">
      <c r="A50" s="51" t="s">
        <v>80</v>
      </c>
      <c r="B50" s="51" t="s">
        <v>178</v>
      </c>
      <c r="C50" s="51" t="s">
        <v>179</v>
      </c>
      <c r="D50" s="51" t="s">
        <v>180</v>
      </c>
      <c r="E50" s="51" t="s">
        <v>22</v>
      </c>
      <c r="F50" s="51" t="s">
        <v>171</v>
      </c>
      <c r="G50" s="53">
        <v>45839</v>
      </c>
      <c r="H50" s="53">
        <v>46203</v>
      </c>
      <c r="I50" s="51" t="s">
        <v>33</v>
      </c>
      <c r="J50" s="53">
        <v>46283</v>
      </c>
      <c r="K50" s="51" t="s">
        <v>25</v>
      </c>
      <c r="L50" s="51" t="s">
        <v>80</v>
      </c>
      <c r="M50" s="51" t="s">
        <v>26</v>
      </c>
      <c r="N50" s="51"/>
      <c r="O50" s="59">
        <f t="shared" ca="1" si="12"/>
        <v>165</v>
      </c>
      <c r="P50" s="60" t="s">
        <v>28</v>
      </c>
      <c r="Q50" s="60" t="str">
        <f t="shared" si="13"/>
        <v>Q3 2026</v>
      </c>
      <c r="R50" s="51">
        <f t="shared" si="14"/>
        <v>0</v>
      </c>
      <c r="S50" s="51" t="str">
        <f t="shared" ca="1" si="15"/>
        <v>No</v>
      </c>
    </row>
    <row r="51" spans="1:19" s="45" customFormat="1" hidden="1" x14ac:dyDescent="0.25">
      <c r="A51" s="51" t="s">
        <v>80</v>
      </c>
      <c r="B51" s="51" t="s">
        <v>181</v>
      </c>
      <c r="C51" s="51" t="s">
        <v>182</v>
      </c>
      <c r="D51" s="51" t="s">
        <v>183</v>
      </c>
      <c r="E51" s="51" t="s">
        <v>22</v>
      </c>
      <c r="F51" s="51" t="s">
        <v>171</v>
      </c>
      <c r="G51" s="53">
        <v>45839</v>
      </c>
      <c r="H51" s="53">
        <v>46203</v>
      </c>
      <c r="I51" s="51" t="s">
        <v>33</v>
      </c>
      <c r="J51" s="53">
        <v>46290</v>
      </c>
      <c r="K51" s="51" t="s">
        <v>25</v>
      </c>
      <c r="L51" s="51" t="s">
        <v>80</v>
      </c>
      <c r="M51" s="51" t="s">
        <v>26</v>
      </c>
      <c r="N51" s="51"/>
      <c r="O51" s="59">
        <f t="shared" ca="1" si="12"/>
        <v>172</v>
      </c>
      <c r="P51" s="60" t="s">
        <v>28</v>
      </c>
      <c r="Q51" s="60" t="str">
        <f t="shared" si="13"/>
        <v>Q3 2026</v>
      </c>
      <c r="R51" s="51">
        <f t="shared" si="14"/>
        <v>0</v>
      </c>
      <c r="S51" s="51" t="str">
        <f t="shared" ca="1" si="15"/>
        <v>No</v>
      </c>
    </row>
    <row r="52" spans="1:19" s="45" customFormat="1" hidden="1" x14ac:dyDescent="0.2">
      <c r="A52" s="51" t="s">
        <v>80</v>
      </c>
      <c r="B52" s="51" t="s">
        <v>250</v>
      </c>
      <c r="C52" s="56" t="s">
        <v>251</v>
      </c>
      <c r="D52" s="56" t="s">
        <v>252</v>
      </c>
      <c r="E52" s="56" t="s">
        <v>237</v>
      </c>
      <c r="F52" s="56" t="s">
        <v>253</v>
      </c>
      <c r="G52" s="56" t="s">
        <v>254</v>
      </c>
      <c r="H52" s="56" t="s">
        <v>255</v>
      </c>
      <c r="I52" s="56" t="s">
        <v>241</v>
      </c>
      <c r="J52" s="56" t="s">
        <v>256</v>
      </c>
      <c r="K52" s="56" t="s">
        <v>257</v>
      </c>
      <c r="L52" s="56" t="s">
        <v>258</v>
      </c>
      <c r="M52" s="56" t="s">
        <v>26</v>
      </c>
      <c r="N52" s="58" t="s">
        <v>114</v>
      </c>
      <c r="O52" s="59" t="str">
        <f t="shared" ca="1" si="12"/>
        <v>N/A</v>
      </c>
      <c r="P52" s="60" t="s">
        <v>190</v>
      </c>
      <c r="Q52" s="60" t="str">
        <f t="shared" si="13"/>
        <v>TBD</v>
      </c>
      <c r="R52" s="67">
        <f t="shared" si="14"/>
        <v>25</v>
      </c>
      <c r="S52" s="51" t="str">
        <f t="shared" ca="1" si="15"/>
        <v>No</v>
      </c>
    </row>
    <row r="53" spans="1:19" s="45" customFormat="1" hidden="1" x14ac:dyDescent="0.2">
      <c r="A53" s="56" t="s">
        <v>140</v>
      </c>
      <c r="B53" s="56" t="s">
        <v>141</v>
      </c>
      <c r="C53" s="56" t="s">
        <v>194</v>
      </c>
      <c r="D53" s="56" t="s">
        <v>195</v>
      </c>
      <c r="E53" s="56" t="s">
        <v>138</v>
      </c>
      <c r="F53" s="56" t="s">
        <v>23</v>
      </c>
      <c r="G53" s="57">
        <v>45474</v>
      </c>
      <c r="H53" s="57">
        <v>46203</v>
      </c>
      <c r="I53" s="56" t="s">
        <v>139</v>
      </c>
      <c r="J53" s="53">
        <v>46157</v>
      </c>
      <c r="K53" s="56" t="s">
        <v>25</v>
      </c>
      <c r="L53" s="51" t="s">
        <v>414</v>
      </c>
      <c r="M53" s="56" t="s">
        <v>144</v>
      </c>
      <c r="N53" s="56" t="s">
        <v>145</v>
      </c>
      <c r="O53" s="68">
        <f t="shared" ca="1" si="12"/>
        <v>39</v>
      </c>
      <c r="P53" s="51" t="s">
        <v>35</v>
      </c>
      <c r="Q53" s="51" t="str">
        <f t="shared" si="13"/>
        <v>Q2 2026</v>
      </c>
      <c r="R53" s="67">
        <f t="shared" si="14"/>
        <v>0</v>
      </c>
      <c r="S53" s="51" t="str">
        <f t="shared" ca="1" si="15"/>
        <v>No</v>
      </c>
    </row>
    <row r="54" spans="1:19" s="45" customFormat="1" hidden="1" x14ac:dyDescent="0.25">
      <c r="A54" s="51" t="s">
        <v>80</v>
      </c>
      <c r="B54" s="51" t="s">
        <v>394</v>
      </c>
      <c r="C54" s="51" t="s">
        <v>395</v>
      </c>
      <c r="D54" s="51" t="s">
        <v>396</v>
      </c>
      <c r="E54" s="51" t="s">
        <v>237</v>
      </c>
      <c r="F54" s="51" t="s">
        <v>238</v>
      </c>
      <c r="G54" s="51"/>
      <c r="H54" s="53"/>
      <c r="I54" s="51" t="s">
        <v>241</v>
      </c>
      <c r="J54" s="51" t="s">
        <v>397</v>
      </c>
      <c r="K54" s="63" t="s">
        <v>25</v>
      </c>
      <c r="L54" s="51" t="s">
        <v>258</v>
      </c>
      <c r="M54" s="51" t="s">
        <v>26</v>
      </c>
      <c r="N54" s="54" t="s">
        <v>114</v>
      </c>
      <c r="O54" s="68" t="str">
        <f t="shared" ca="1" si="12"/>
        <v>N/A</v>
      </c>
      <c r="P54" s="51" t="s">
        <v>190</v>
      </c>
      <c r="Q54" s="51" t="str">
        <f t="shared" si="13"/>
        <v>TBD</v>
      </c>
      <c r="R54" s="67">
        <f t="shared" si="14"/>
        <v>0</v>
      </c>
      <c r="S54" s="51" t="str">
        <f t="shared" ca="1" si="15"/>
        <v>No</v>
      </c>
    </row>
    <row r="55" spans="1:19" s="45" customFormat="1" hidden="1" x14ac:dyDescent="0.25">
      <c r="A55" s="51" t="s">
        <v>80</v>
      </c>
      <c r="B55" s="51" t="s">
        <v>278</v>
      </c>
      <c r="C55" s="51" t="s">
        <v>338</v>
      </c>
      <c r="D55" s="51" t="s">
        <v>339</v>
      </c>
      <c r="E55" s="51" t="s">
        <v>237</v>
      </c>
      <c r="F55" s="51" t="s">
        <v>238</v>
      </c>
      <c r="G55" s="53">
        <v>45199</v>
      </c>
      <c r="H55" s="53">
        <v>47025</v>
      </c>
      <c r="I55" s="51" t="s">
        <v>241</v>
      </c>
      <c r="J55" s="53" t="s">
        <v>340</v>
      </c>
      <c r="K55" s="63" t="s">
        <v>257</v>
      </c>
      <c r="L55" s="51" t="s">
        <v>258</v>
      </c>
      <c r="M55" s="51" t="s">
        <v>26</v>
      </c>
      <c r="N55" s="54" t="s">
        <v>283</v>
      </c>
      <c r="O55" s="68" t="str">
        <f t="shared" ca="1" si="12"/>
        <v>N/A</v>
      </c>
      <c r="P55" s="51" t="s">
        <v>190</v>
      </c>
      <c r="Q55" s="51" t="str">
        <f t="shared" si="13"/>
        <v>TBD</v>
      </c>
      <c r="R55" s="67">
        <f t="shared" si="14"/>
        <v>25</v>
      </c>
      <c r="S55" s="51" t="str">
        <f t="shared" ca="1" si="15"/>
        <v>No</v>
      </c>
    </row>
    <row r="56" spans="1:19" s="45" customFormat="1" hidden="1" x14ac:dyDescent="0.25">
      <c r="A56" s="107" t="s">
        <v>120</v>
      </c>
      <c r="B56" s="51" t="s">
        <v>121</v>
      </c>
      <c r="C56" s="51" t="s">
        <v>122</v>
      </c>
      <c r="D56" s="54" t="s">
        <v>123</v>
      </c>
      <c r="E56" s="51" t="s">
        <v>22</v>
      </c>
      <c r="F56" s="51" t="s">
        <v>23</v>
      </c>
      <c r="G56" s="53">
        <v>45839</v>
      </c>
      <c r="H56" s="53">
        <v>46203</v>
      </c>
      <c r="I56" s="51" t="s">
        <v>33</v>
      </c>
      <c r="J56" s="53">
        <v>46241</v>
      </c>
      <c r="K56" s="51" t="s">
        <v>25</v>
      </c>
      <c r="L56" s="51" t="s">
        <v>80</v>
      </c>
      <c r="M56" s="51" t="s">
        <v>11</v>
      </c>
      <c r="N56" s="51" t="s">
        <v>124</v>
      </c>
      <c r="O56" s="68">
        <f t="shared" ca="1" si="12"/>
        <v>123</v>
      </c>
      <c r="P56" s="51" t="s">
        <v>28</v>
      </c>
      <c r="Q56" s="51" t="str">
        <f t="shared" si="13"/>
        <v>Q3 2026</v>
      </c>
      <c r="R56" s="51">
        <f t="shared" si="14"/>
        <v>0</v>
      </c>
      <c r="S56" s="51" t="str">
        <f t="shared" ca="1" si="15"/>
        <v>No</v>
      </c>
    </row>
    <row r="57" spans="1:19" s="45" customFormat="1" ht="22.5" hidden="1" x14ac:dyDescent="0.25">
      <c r="A57" s="51" t="s">
        <v>140</v>
      </c>
      <c r="B57" s="51" t="s">
        <v>141</v>
      </c>
      <c r="C57" s="51" t="s">
        <v>216</v>
      </c>
      <c r="D57" s="51" t="s">
        <v>217</v>
      </c>
      <c r="E57" s="51" t="s">
        <v>138</v>
      </c>
      <c r="F57" s="51" t="s">
        <v>23</v>
      </c>
      <c r="G57" s="53">
        <v>45108</v>
      </c>
      <c r="H57" s="53">
        <v>45838</v>
      </c>
      <c r="I57" s="51" t="s">
        <v>139</v>
      </c>
      <c r="J57" s="53">
        <v>46157</v>
      </c>
      <c r="K57" s="51" t="s">
        <v>25</v>
      </c>
      <c r="L57" s="51" t="s">
        <v>414</v>
      </c>
      <c r="M57" s="51" t="s">
        <v>144</v>
      </c>
      <c r="N57" s="54" t="s">
        <v>145</v>
      </c>
      <c r="O57" s="68">
        <f t="shared" ca="1" si="12"/>
        <v>39</v>
      </c>
      <c r="P57" s="51" t="s">
        <v>35</v>
      </c>
      <c r="Q57" s="51" t="str">
        <f t="shared" si="13"/>
        <v>Q2 2026</v>
      </c>
      <c r="R57" s="67">
        <f t="shared" si="14"/>
        <v>0</v>
      </c>
      <c r="S57" s="51" t="str">
        <f t="shared" ca="1" si="15"/>
        <v>No</v>
      </c>
    </row>
    <row r="58" spans="1:19" s="45" customFormat="1" ht="22.5" hidden="1" x14ac:dyDescent="0.25">
      <c r="A58" s="51" t="s">
        <v>140</v>
      </c>
      <c r="B58" s="51" t="s">
        <v>141</v>
      </c>
      <c r="C58" s="51" t="s">
        <v>218</v>
      </c>
      <c r="D58" s="51" t="s">
        <v>219</v>
      </c>
      <c r="E58" s="51" t="s">
        <v>138</v>
      </c>
      <c r="F58" s="51" t="s">
        <v>23</v>
      </c>
      <c r="G58" s="53">
        <v>45292</v>
      </c>
      <c r="H58" s="53">
        <v>46022</v>
      </c>
      <c r="I58" s="51" t="s">
        <v>139</v>
      </c>
      <c r="J58" s="53">
        <v>46157</v>
      </c>
      <c r="K58" s="51" t="s">
        <v>25</v>
      </c>
      <c r="L58" s="51" t="s">
        <v>414</v>
      </c>
      <c r="M58" s="51" t="s">
        <v>144</v>
      </c>
      <c r="N58" s="54" t="s">
        <v>145</v>
      </c>
      <c r="O58" s="68">
        <f t="shared" ca="1" si="12"/>
        <v>39</v>
      </c>
      <c r="P58" s="51" t="s">
        <v>35</v>
      </c>
      <c r="Q58" s="51" t="str">
        <f t="shared" si="13"/>
        <v>Q2 2026</v>
      </c>
      <c r="R58" s="67">
        <f t="shared" si="14"/>
        <v>0</v>
      </c>
      <c r="S58" s="51" t="str">
        <f t="shared" ca="1" si="15"/>
        <v>No</v>
      </c>
    </row>
    <row r="59" spans="1:19" s="45" customFormat="1" ht="22.5" hidden="1" x14ac:dyDescent="0.25">
      <c r="A59" s="51" t="s">
        <v>140</v>
      </c>
      <c r="B59" s="51" t="s">
        <v>141</v>
      </c>
      <c r="C59" s="51" t="s">
        <v>220</v>
      </c>
      <c r="D59" s="51" t="s">
        <v>221</v>
      </c>
      <c r="E59" s="51" t="s">
        <v>138</v>
      </c>
      <c r="F59" s="51" t="s">
        <v>23</v>
      </c>
      <c r="G59" s="53">
        <v>45292</v>
      </c>
      <c r="H59" s="53">
        <v>46022</v>
      </c>
      <c r="I59" s="51" t="s">
        <v>139</v>
      </c>
      <c r="J59" s="53">
        <v>46157</v>
      </c>
      <c r="K59" s="51" t="s">
        <v>25</v>
      </c>
      <c r="L59" s="51" t="s">
        <v>414</v>
      </c>
      <c r="M59" s="51" t="s">
        <v>144</v>
      </c>
      <c r="N59" s="54" t="s">
        <v>145</v>
      </c>
      <c r="O59" s="68">
        <f t="shared" ca="1" si="12"/>
        <v>39</v>
      </c>
      <c r="P59" s="51" t="s">
        <v>35</v>
      </c>
      <c r="Q59" s="51" t="str">
        <f t="shared" si="13"/>
        <v>Q2 2026</v>
      </c>
      <c r="R59" s="67">
        <f t="shared" si="14"/>
        <v>0</v>
      </c>
      <c r="S59" s="51" t="str">
        <f t="shared" ca="1" si="15"/>
        <v>No</v>
      </c>
    </row>
    <row r="60" spans="1:19" s="45" customFormat="1" hidden="1" x14ac:dyDescent="0.25">
      <c r="A60" s="107" t="s">
        <v>120</v>
      </c>
      <c r="B60" s="51" t="s">
        <v>121</v>
      </c>
      <c r="C60" s="51" t="s">
        <v>207</v>
      </c>
      <c r="D60" s="51" t="s">
        <v>208</v>
      </c>
      <c r="E60" s="51" t="s">
        <v>22</v>
      </c>
      <c r="F60" s="51" t="s">
        <v>23</v>
      </c>
      <c r="G60" s="53">
        <v>45839</v>
      </c>
      <c r="H60" s="53">
        <v>46203</v>
      </c>
      <c r="I60" s="51" t="s">
        <v>33</v>
      </c>
      <c r="J60" s="53">
        <v>46241</v>
      </c>
      <c r="K60" s="51" t="s">
        <v>25</v>
      </c>
      <c r="L60" s="51" t="s">
        <v>80</v>
      </c>
      <c r="M60" s="51" t="s">
        <v>11</v>
      </c>
      <c r="N60" s="51" t="s">
        <v>124</v>
      </c>
      <c r="O60" s="68">
        <f t="shared" ca="1" si="12"/>
        <v>123</v>
      </c>
      <c r="P60" s="60" t="s">
        <v>28</v>
      </c>
      <c r="Q60" s="51" t="str">
        <f t="shared" si="13"/>
        <v>Q3 2026</v>
      </c>
      <c r="R60" s="51">
        <f t="shared" si="14"/>
        <v>0</v>
      </c>
      <c r="S60" s="51" t="str">
        <f t="shared" ca="1" si="15"/>
        <v>No</v>
      </c>
    </row>
    <row r="61" spans="1:19" s="45" customFormat="1" hidden="1" x14ac:dyDescent="0.25">
      <c r="A61" s="107" t="s">
        <v>120</v>
      </c>
      <c r="B61" s="51" t="s">
        <v>121</v>
      </c>
      <c r="C61" s="51" t="s">
        <v>229</v>
      </c>
      <c r="D61" s="51" t="s">
        <v>230</v>
      </c>
      <c r="E61" s="51" t="s">
        <v>22</v>
      </c>
      <c r="F61" s="51" t="s">
        <v>23</v>
      </c>
      <c r="G61" s="53">
        <v>45839</v>
      </c>
      <c r="H61" s="53">
        <v>46203</v>
      </c>
      <c r="I61" s="51" t="s">
        <v>33</v>
      </c>
      <c r="J61" s="53">
        <v>46241</v>
      </c>
      <c r="K61" s="51" t="s">
        <v>25</v>
      </c>
      <c r="L61" s="51" t="s">
        <v>80</v>
      </c>
      <c r="M61" s="51" t="s">
        <v>11</v>
      </c>
      <c r="N61" s="51" t="s">
        <v>124</v>
      </c>
      <c r="O61" s="68">
        <f t="shared" ca="1" si="12"/>
        <v>123</v>
      </c>
      <c r="P61" s="51" t="s">
        <v>28</v>
      </c>
      <c r="Q61" s="51" t="str">
        <f t="shared" si="13"/>
        <v>Q3 2026</v>
      </c>
      <c r="R61" s="51">
        <f t="shared" si="14"/>
        <v>0</v>
      </c>
      <c r="S61" s="51" t="str">
        <f t="shared" ca="1" si="15"/>
        <v>No</v>
      </c>
    </row>
    <row r="62" spans="1:19" s="45" customFormat="1" hidden="1" x14ac:dyDescent="0.25">
      <c r="A62" s="107" t="s">
        <v>120</v>
      </c>
      <c r="B62" s="51" t="s">
        <v>121</v>
      </c>
      <c r="C62" s="51" t="s">
        <v>231</v>
      </c>
      <c r="D62" s="51" t="s">
        <v>232</v>
      </c>
      <c r="E62" s="51" t="s">
        <v>22</v>
      </c>
      <c r="F62" s="51" t="s">
        <v>23</v>
      </c>
      <c r="G62" s="53">
        <v>45839</v>
      </c>
      <c r="H62" s="53">
        <v>46203</v>
      </c>
      <c r="I62" s="51" t="s">
        <v>33</v>
      </c>
      <c r="J62" s="53">
        <v>46241</v>
      </c>
      <c r="K62" s="51" t="s">
        <v>25</v>
      </c>
      <c r="L62" s="51" t="s">
        <v>80</v>
      </c>
      <c r="M62" s="51" t="s">
        <v>11</v>
      </c>
      <c r="N62" s="51" t="s">
        <v>124</v>
      </c>
      <c r="O62" s="68">
        <f t="shared" ca="1" si="12"/>
        <v>123</v>
      </c>
      <c r="P62" s="51" t="s">
        <v>28</v>
      </c>
      <c r="Q62" s="51" t="str">
        <f t="shared" si="13"/>
        <v>Q3 2026</v>
      </c>
      <c r="R62" s="51">
        <f t="shared" si="14"/>
        <v>0</v>
      </c>
      <c r="S62" s="51" t="str">
        <f t="shared" ca="1" si="15"/>
        <v>No</v>
      </c>
    </row>
    <row r="63" spans="1:19" s="45" customFormat="1" ht="22.5" hidden="1" x14ac:dyDescent="0.25">
      <c r="A63" s="51" t="s">
        <v>209</v>
      </c>
      <c r="B63" s="51" t="s">
        <v>210</v>
      </c>
      <c r="C63" s="51" t="s">
        <v>211</v>
      </c>
      <c r="D63" s="54" t="s">
        <v>212</v>
      </c>
      <c r="E63" s="51" t="s">
        <v>22</v>
      </c>
      <c r="F63" s="51" t="s">
        <v>23</v>
      </c>
      <c r="G63" s="53">
        <v>45292</v>
      </c>
      <c r="H63" s="53">
        <v>46022</v>
      </c>
      <c r="I63" s="51" t="s">
        <v>33</v>
      </c>
      <c r="J63" s="53">
        <v>46112</v>
      </c>
      <c r="K63" s="51" t="s">
        <v>248</v>
      </c>
      <c r="L63" s="51" t="s">
        <v>258</v>
      </c>
      <c r="M63" s="51" t="s">
        <v>11</v>
      </c>
      <c r="N63" s="54" t="s">
        <v>213</v>
      </c>
      <c r="O63" s="68">
        <f t="shared" ca="1" si="12"/>
        <v>-6</v>
      </c>
      <c r="P63" s="51" t="s">
        <v>50</v>
      </c>
      <c r="Q63" s="51" t="str">
        <f t="shared" si="13"/>
        <v>Q1 2026</v>
      </c>
      <c r="R63" s="67">
        <f t="shared" si="14"/>
        <v>0</v>
      </c>
      <c r="S63" s="51" t="str">
        <f t="shared" ca="1" si="15"/>
        <v>⚠️ YES</v>
      </c>
    </row>
    <row r="64" spans="1:19" s="45" customFormat="1" hidden="1" x14ac:dyDescent="0.25">
      <c r="A64" s="51" t="s">
        <v>327</v>
      </c>
      <c r="B64" s="51" t="s">
        <v>328</v>
      </c>
      <c r="C64" s="51" t="s">
        <v>329</v>
      </c>
      <c r="D64" s="51" t="s">
        <v>330</v>
      </c>
      <c r="E64" s="51" t="s">
        <v>22</v>
      </c>
      <c r="F64" s="51" t="s">
        <v>80</v>
      </c>
      <c r="G64" s="53">
        <v>45778</v>
      </c>
      <c r="H64" s="53">
        <v>46142</v>
      </c>
      <c r="I64" s="51" t="s">
        <v>33</v>
      </c>
      <c r="J64" s="53">
        <v>46155</v>
      </c>
      <c r="K64" s="51" t="s">
        <v>25</v>
      </c>
      <c r="L64" s="51" t="s">
        <v>313</v>
      </c>
      <c r="M64" s="51" t="s">
        <v>26</v>
      </c>
      <c r="N64" s="54" t="s">
        <v>331</v>
      </c>
      <c r="O64" s="68">
        <f t="shared" ca="1" si="12"/>
        <v>37</v>
      </c>
      <c r="P64" s="51" t="s">
        <v>35</v>
      </c>
      <c r="Q64" s="51" t="str">
        <f t="shared" si="13"/>
        <v>Q2 2026</v>
      </c>
      <c r="R64" s="67">
        <f t="shared" si="14"/>
        <v>0</v>
      </c>
      <c r="S64" s="51" t="str">
        <f t="shared" ca="1" si="15"/>
        <v>No</v>
      </c>
    </row>
    <row r="65" spans="8:19" s="45" customFormat="1" hidden="1" x14ac:dyDescent="0.25">
      <c r="H65" s="46"/>
      <c r="J65" s="46"/>
      <c r="N65" s="44"/>
      <c r="O65" s="50" t="str">
        <f t="shared" ref="O65:O88" ca="1" si="16">IF(K65="Completed","-",IF(ISNUMBER(J65),J65-TODAY(),"N/A"))</f>
        <v>N/A</v>
      </c>
      <c r="P65" s="45" t="s">
        <v>190</v>
      </c>
      <c r="Q65" s="45" t="str">
        <f t="shared" ref="Q65:Q88" si="17">IF(ISNUMBER(J65),"Q"&amp;INT((MONTH(J65)-1)/3)+1&amp;" "&amp;YEAR(J65),"TBD")</f>
        <v>TBD</v>
      </c>
      <c r="R65" s="45">
        <f t="shared" ref="R65:R88" si="18">IF(K65="Completed",100,IF(K65="In progress",50,IF(K65="Assigned",25,IF(K65="Not Started",0,IF(K65="TBD",0,0)))))</f>
        <v>0</v>
      </c>
      <c r="S65" s="45" t="str">
        <f t="shared" ref="S65:S88" ca="1" si="19">IF(AND(ISNUMBER(O65),O65&lt;0,K65&lt;&gt;"Completed"),"⚠️ YES","No")</f>
        <v>No</v>
      </c>
    </row>
    <row r="66" spans="8:19" s="45" customFormat="1" hidden="1" x14ac:dyDescent="0.25">
      <c r="H66" s="46"/>
      <c r="J66" s="46"/>
      <c r="N66" s="44"/>
      <c r="O66" s="50" t="str">
        <f t="shared" ca="1" si="16"/>
        <v>N/A</v>
      </c>
      <c r="P66" s="45" t="s">
        <v>190</v>
      </c>
      <c r="Q66" s="45" t="str">
        <f t="shared" si="17"/>
        <v>TBD</v>
      </c>
      <c r="R66" s="45">
        <f t="shared" si="18"/>
        <v>0</v>
      </c>
      <c r="S66" s="45" t="str">
        <f t="shared" ca="1" si="19"/>
        <v>No</v>
      </c>
    </row>
    <row r="67" spans="8:19" s="45" customFormat="1" hidden="1" x14ac:dyDescent="0.25">
      <c r="H67" s="46"/>
      <c r="J67" s="46"/>
      <c r="N67" s="44"/>
      <c r="O67" s="50" t="str">
        <f t="shared" ca="1" si="16"/>
        <v>N/A</v>
      </c>
      <c r="P67" s="45" t="s">
        <v>190</v>
      </c>
      <c r="Q67" s="45" t="str">
        <f t="shared" si="17"/>
        <v>TBD</v>
      </c>
      <c r="R67" s="45">
        <f t="shared" si="18"/>
        <v>0</v>
      </c>
      <c r="S67" s="45" t="str">
        <f t="shared" ca="1" si="19"/>
        <v>No</v>
      </c>
    </row>
    <row r="68" spans="8:19" s="45" customFormat="1" hidden="1" x14ac:dyDescent="0.25">
      <c r="H68" s="46"/>
      <c r="J68" s="46"/>
      <c r="N68" s="44"/>
      <c r="O68" s="50" t="str">
        <f t="shared" ca="1" si="16"/>
        <v>N/A</v>
      </c>
      <c r="P68" s="45" t="s">
        <v>190</v>
      </c>
      <c r="Q68" s="45" t="str">
        <f t="shared" si="17"/>
        <v>TBD</v>
      </c>
      <c r="R68" s="45">
        <f t="shared" si="18"/>
        <v>0</v>
      </c>
      <c r="S68" s="45" t="str">
        <f t="shared" ca="1" si="19"/>
        <v>No</v>
      </c>
    </row>
    <row r="69" spans="8:19" s="45" customFormat="1" hidden="1" x14ac:dyDescent="0.25">
      <c r="H69" s="46"/>
      <c r="J69" s="46"/>
      <c r="N69" s="44"/>
      <c r="O69" s="50" t="str">
        <f t="shared" ca="1" si="16"/>
        <v>N/A</v>
      </c>
      <c r="P69" s="45" t="s">
        <v>190</v>
      </c>
      <c r="Q69" s="45" t="str">
        <f t="shared" si="17"/>
        <v>TBD</v>
      </c>
      <c r="R69" s="45">
        <f t="shared" si="18"/>
        <v>0</v>
      </c>
      <c r="S69" s="45" t="str">
        <f t="shared" ca="1" si="19"/>
        <v>No</v>
      </c>
    </row>
    <row r="70" spans="8:19" s="45" customFormat="1" hidden="1" x14ac:dyDescent="0.25">
      <c r="H70" s="46"/>
      <c r="J70" s="46"/>
      <c r="N70" s="44"/>
      <c r="O70" s="50" t="str">
        <f t="shared" ca="1" si="16"/>
        <v>N/A</v>
      </c>
      <c r="P70" s="45" t="s">
        <v>190</v>
      </c>
      <c r="Q70" s="45" t="str">
        <f t="shared" si="17"/>
        <v>TBD</v>
      </c>
      <c r="R70" s="45">
        <f t="shared" si="18"/>
        <v>0</v>
      </c>
      <c r="S70" s="45" t="str">
        <f t="shared" ca="1" si="19"/>
        <v>No</v>
      </c>
    </row>
    <row r="71" spans="8:19" s="45" customFormat="1" hidden="1" x14ac:dyDescent="0.25">
      <c r="H71" s="46"/>
      <c r="J71" s="46"/>
      <c r="N71" s="44"/>
      <c r="O71" s="50" t="str">
        <f t="shared" ca="1" si="16"/>
        <v>N/A</v>
      </c>
      <c r="P71" s="45" t="s">
        <v>190</v>
      </c>
      <c r="Q71" s="45" t="str">
        <f t="shared" si="17"/>
        <v>TBD</v>
      </c>
      <c r="R71" s="45">
        <f t="shared" si="18"/>
        <v>0</v>
      </c>
      <c r="S71" s="45" t="str">
        <f t="shared" ca="1" si="19"/>
        <v>No</v>
      </c>
    </row>
    <row r="72" spans="8:19" s="45" customFormat="1" hidden="1" x14ac:dyDescent="0.25">
      <c r="H72" s="46"/>
      <c r="J72" s="46"/>
      <c r="N72" s="44"/>
      <c r="O72" s="50" t="str">
        <f t="shared" ca="1" si="16"/>
        <v>N/A</v>
      </c>
      <c r="P72" s="45" t="s">
        <v>190</v>
      </c>
      <c r="Q72" s="45" t="str">
        <f t="shared" si="17"/>
        <v>TBD</v>
      </c>
      <c r="R72" s="45">
        <f t="shared" si="18"/>
        <v>0</v>
      </c>
      <c r="S72" s="45" t="str">
        <f t="shared" ca="1" si="19"/>
        <v>No</v>
      </c>
    </row>
    <row r="73" spans="8:19" s="45" customFormat="1" hidden="1" x14ac:dyDescent="0.25">
      <c r="H73" s="46"/>
      <c r="J73" s="46"/>
      <c r="N73" s="44"/>
      <c r="O73" s="50" t="str">
        <f t="shared" ca="1" si="16"/>
        <v>N/A</v>
      </c>
      <c r="P73" s="45" t="s">
        <v>190</v>
      </c>
      <c r="Q73" s="45" t="str">
        <f t="shared" si="17"/>
        <v>TBD</v>
      </c>
      <c r="R73" s="45">
        <f t="shared" si="18"/>
        <v>0</v>
      </c>
      <c r="S73" s="45" t="str">
        <f t="shared" ca="1" si="19"/>
        <v>No</v>
      </c>
    </row>
    <row r="74" spans="8:19" s="45" customFormat="1" hidden="1" x14ac:dyDescent="0.25">
      <c r="H74" s="46"/>
      <c r="J74" s="46"/>
      <c r="N74" s="44"/>
      <c r="O74" s="50" t="str">
        <f t="shared" ca="1" si="16"/>
        <v>N/A</v>
      </c>
      <c r="P74" s="45" t="s">
        <v>190</v>
      </c>
      <c r="Q74" s="45" t="str">
        <f t="shared" si="17"/>
        <v>TBD</v>
      </c>
      <c r="R74" s="45">
        <f t="shared" si="18"/>
        <v>0</v>
      </c>
      <c r="S74" s="45" t="str">
        <f t="shared" ca="1" si="19"/>
        <v>No</v>
      </c>
    </row>
    <row r="75" spans="8:19" s="45" customFormat="1" hidden="1" x14ac:dyDescent="0.25">
      <c r="H75" s="46"/>
      <c r="J75" s="46"/>
      <c r="N75" s="44"/>
      <c r="O75" s="50" t="str">
        <f t="shared" ca="1" si="16"/>
        <v>N/A</v>
      </c>
      <c r="P75" s="45" t="s">
        <v>190</v>
      </c>
      <c r="Q75" s="45" t="str">
        <f t="shared" si="17"/>
        <v>TBD</v>
      </c>
      <c r="R75" s="45">
        <f t="shared" si="18"/>
        <v>0</v>
      </c>
      <c r="S75" s="45" t="str">
        <f t="shared" ca="1" si="19"/>
        <v>No</v>
      </c>
    </row>
    <row r="76" spans="8:19" s="45" customFormat="1" hidden="1" x14ac:dyDescent="0.25">
      <c r="H76" s="46"/>
      <c r="J76" s="46"/>
      <c r="N76" s="44"/>
      <c r="O76" s="50" t="str">
        <f t="shared" ca="1" si="16"/>
        <v>N/A</v>
      </c>
      <c r="P76" s="45" t="s">
        <v>190</v>
      </c>
      <c r="Q76" s="45" t="str">
        <f t="shared" si="17"/>
        <v>TBD</v>
      </c>
      <c r="R76" s="45">
        <f t="shared" si="18"/>
        <v>0</v>
      </c>
      <c r="S76" s="45" t="str">
        <f t="shared" ca="1" si="19"/>
        <v>No</v>
      </c>
    </row>
    <row r="77" spans="8:19" s="45" customFormat="1" hidden="1" x14ac:dyDescent="0.25">
      <c r="H77" s="46"/>
      <c r="J77" s="46"/>
      <c r="N77" s="44"/>
      <c r="O77" s="50" t="str">
        <f t="shared" ca="1" si="16"/>
        <v>N/A</v>
      </c>
      <c r="P77" s="45" t="s">
        <v>190</v>
      </c>
      <c r="Q77" s="45" t="str">
        <f t="shared" si="17"/>
        <v>TBD</v>
      </c>
      <c r="R77" s="45">
        <f t="shared" si="18"/>
        <v>0</v>
      </c>
      <c r="S77" s="45" t="str">
        <f t="shared" ca="1" si="19"/>
        <v>No</v>
      </c>
    </row>
    <row r="78" spans="8:19" s="45" customFormat="1" hidden="1" x14ac:dyDescent="0.25">
      <c r="H78" s="46"/>
      <c r="J78" s="46"/>
      <c r="N78" s="44"/>
      <c r="O78" s="50" t="str">
        <f t="shared" ca="1" si="16"/>
        <v>N/A</v>
      </c>
      <c r="P78" s="45" t="s">
        <v>190</v>
      </c>
      <c r="Q78" s="45" t="str">
        <f t="shared" si="17"/>
        <v>TBD</v>
      </c>
      <c r="R78" s="45">
        <f t="shared" si="18"/>
        <v>0</v>
      </c>
      <c r="S78" s="45" t="str">
        <f t="shared" ca="1" si="19"/>
        <v>No</v>
      </c>
    </row>
    <row r="79" spans="8:19" s="45" customFormat="1" hidden="1" x14ac:dyDescent="0.25">
      <c r="H79" s="46"/>
      <c r="J79" s="46"/>
      <c r="N79" s="44"/>
      <c r="O79" s="50" t="str">
        <f t="shared" ca="1" si="16"/>
        <v>N/A</v>
      </c>
      <c r="P79" s="45" t="s">
        <v>190</v>
      </c>
      <c r="Q79" s="45" t="str">
        <f t="shared" si="17"/>
        <v>TBD</v>
      </c>
      <c r="R79" s="45">
        <f t="shared" si="18"/>
        <v>0</v>
      </c>
      <c r="S79" s="45" t="str">
        <f t="shared" ca="1" si="19"/>
        <v>No</v>
      </c>
    </row>
    <row r="80" spans="8:19" s="45" customFormat="1" hidden="1" x14ac:dyDescent="0.25">
      <c r="H80" s="46"/>
      <c r="J80" s="46"/>
      <c r="N80" s="44"/>
      <c r="O80" s="50" t="str">
        <f t="shared" ca="1" si="16"/>
        <v>N/A</v>
      </c>
      <c r="P80" s="45" t="s">
        <v>190</v>
      </c>
      <c r="Q80" s="45" t="str">
        <f t="shared" si="17"/>
        <v>TBD</v>
      </c>
      <c r="R80" s="45">
        <f t="shared" si="18"/>
        <v>0</v>
      </c>
      <c r="S80" s="45" t="str">
        <f t="shared" ca="1" si="19"/>
        <v>No</v>
      </c>
    </row>
    <row r="81" spans="8:19" s="45" customFormat="1" hidden="1" x14ac:dyDescent="0.25">
      <c r="H81" s="46"/>
      <c r="J81" s="46"/>
      <c r="N81" s="44"/>
      <c r="O81" s="50" t="str">
        <f t="shared" ca="1" si="16"/>
        <v>N/A</v>
      </c>
      <c r="P81" s="45" t="s">
        <v>190</v>
      </c>
      <c r="Q81" s="45" t="str">
        <f t="shared" si="17"/>
        <v>TBD</v>
      </c>
      <c r="R81" s="45">
        <f t="shared" si="18"/>
        <v>0</v>
      </c>
      <c r="S81" s="45" t="str">
        <f t="shared" ca="1" si="19"/>
        <v>No</v>
      </c>
    </row>
    <row r="82" spans="8:19" s="45" customFormat="1" hidden="1" x14ac:dyDescent="0.25">
      <c r="H82" s="46"/>
      <c r="J82" s="46"/>
      <c r="N82" s="44"/>
      <c r="O82" s="50" t="str">
        <f t="shared" ca="1" si="16"/>
        <v>N/A</v>
      </c>
      <c r="P82" s="45" t="s">
        <v>190</v>
      </c>
      <c r="Q82" s="45" t="str">
        <f t="shared" si="17"/>
        <v>TBD</v>
      </c>
      <c r="R82" s="45">
        <f t="shared" si="18"/>
        <v>0</v>
      </c>
      <c r="S82" s="45" t="str">
        <f t="shared" ca="1" si="19"/>
        <v>No</v>
      </c>
    </row>
    <row r="83" spans="8:19" s="45" customFormat="1" hidden="1" x14ac:dyDescent="0.25">
      <c r="H83" s="46"/>
      <c r="J83" s="46"/>
      <c r="N83" s="44"/>
      <c r="O83" s="50" t="str">
        <f t="shared" ca="1" si="16"/>
        <v>N/A</v>
      </c>
      <c r="P83" s="45" t="s">
        <v>190</v>
      </c>
      <c r="Q83" s="45" t="str">
        <f t="shared" si="17"/>
        <v>TBD</v>
      </c>
      <c r="R83" s="45">
        <f t="shared" si="18"/>
        <v>0</v>
      </c>
      <c r="S83" s="45" t="str">
        <f t="shared" ca="1" si="19"/>
        <v>No</v>
      </c>
    </row>
    <row r="84" spans="8:19" s="45" customFormat="1" hidden="1" x14ac:dyDescent="0.25">
      <c r="H84" s="46"/>
      <c r="J84" s="46"/>
      <c r="N84" s="44"/>
      <c r="O84" s="50" t="str">
        <f t="shared" ca="1" si="16"/>
        <v>N/A</v>
      </c>
      <c r="P84" s="45" t="s">
        <v>190</v>
      </c>
      <c r="Q84" s="45" t="str">
        <f t="shared" si="17"/>
        <v>TBD</v>
      </c>
      <c r="R84" s="45">
        <f t="shared" si="18"/>
        <v>0</v>
      </c>
      <c r="S84" s="45" t="str">
        <f t="shared" ca="1" si="19"/>
        <v>No</v>
      </c>
    </row>
    <row r="85" spans="8:19" s="45" customFormat="1" hidden="1" x14ac:dyDescent="0.25">
      <c r="H85" s="46"/>
      <c r="J85" s="46"/>
      <c r="N85" s="44"/>
      <c r="O85" s="50" t="str">
        <f t="shared" ca="1" si="16"/>
        <v>N/A</v>
      </c>
      <c r="P85" s="45" t="s">
        <v>190</v>
      </c>
      <c r="Q85" s="45" t="str">
        <f t="shared" si="17"/>
        <v>TBD</v>
      </c>
      <c r="R85" s="45">
        <f t="shared" si="18"/>
        <v>0</v>
      </c>
      <c r="S85" s="45" t="str">
        <f t="shared" ca="1" si="19"/>
        <v>No</v>
      </c>
    </row>
    <row r="86" spans="8:19" s="45" customFormat="1" hidden="1" x14ac:dyDescent="0.25">
      <c r="H86" s="46"/>
      <c r="J86" s="46"/>
      <c r="N86" s="44"/>
      <c r="O86" s="50" t="str">
        <f t="shared" ca="1" si="16"/>
        <v>N/A</v>
      </c>
      <c r="P86" s="45" t="s">
        <v>190</v>
      </c>
      <c r="Q86" s="45" t="str">
        <f t="shared" si="17"/>
        <v>TBD</v>
      </c>
      <c r="R86" s="45">
        <f t="shared" si="18"/>
        <v>0</v>
      </c>
      <c r="S86" s="45" t="str">
        <f t="shared" ca="1" si="19"/>
        <v>No</v>
      </c>
    </row>
    <row r="87" spans="8:19" s="45" customFormat="1" hidden="1" x14ac:dyDescent="0.25">
      <c r="H87" s="46"/>
      <c r="J87" s="46"/>
      <c r="N87" s="44"/>
      <c r="O87" s="50" t="str">
        <f t="shared" ca="1" si="16"/>
        <v>N/A</v>
      </c>
      <c r="P87" s="45" t="s">
        <v>190</v>
      </c>
      <c r="Q87" s="45" t="str">
        <f t="shared" si="17"/>
        <v>TBD</v>
      </c>
      <c r="R87" s="45">
        <f t="shared" si="18"/>
        <v>0</v>
      </c>
      <c r="S87" s="45" t="str">
        <f t="shared" ca="1" si="19"/>
        <v>No</v>
      </c>
    </row>
    <row r="88" spans="8:19" s="45" customFormat="1" hidden="1" x14ac:dyDescent="0.25">
      <c r="H88" s="46"/>
      <c r="J88" s="46"/>
      <c r="N88" s="44"/>
      <c r="O88" s="50" t="str">
        <f t="shared" ca="1" si="16"/>
        <v>N/A</v>
      </c>
      <c r="P88" s="45" t="s">
        <v>190</v>
      </c>
      <c r="Q88" s="45" t="str">
        <f t="shared" si="17"/>
        <v>TBD</v>
      </c>
      <c r="R88" s="45">
        <f t="shared" si="18"/>
        <v>0</v>
      </c>
      <c r="S88" s="45" t="str">
        <f t="shared" ca="1" si="19"/>
        <v>No</v>
      </c>
    </row>
    <row r="89" spans="8:19" s="45" customFormat="1" hidden="1" x14ac:dyDescent="0.25">
      <c r="H89" s="46"/>
      <c r="J89" s="46"/>
      <c r="N89" s="44"/>
      <c r="O89" s="50" t="str">
        <f t="shared" ref="O89:O120" ca="1" si="20">IF(K89="Completed","-",IF(ISNUMBER(J89),J89-TODAY(),"N/A"))</f>
        <v>N/A</v>
      </c>
      <c r="P89" s="45" t="s">
        <v>190</v>
      </c>
      <c r="Q89" s="45" t="str">
        <f t="shared" ref="Q89:Q120" si="21">IF(ISNUMBER(J89),"Q"&amp;INT((MONTH(J89)-1)/3)+1&amp;" "&amp;YEAR(J89),"TBD")</f>
        <v>TBD</v>
      </c>
      <c r="R89" s="45">
        <f t="shared" ref="R89:R120" si="22">IF(K89="Completed",100,IF(K89="In progress",50,IF(K89="Assigned",25,IF(K89="Not Started",0,IF(K89="TBD",0,0)))))</f>
        <v>0</v>
      </c>
      <c r="S89" s="45" t="str">
        <f t="shared" ref="S89:S120" ca="1" si="23">IF(AND(ISNUMBER(O89),O89&lt;0,K89&lt;&gt;"Completed"),"⚠️ YES","No")</f>
        <v>No</v>
      </c>
    </row>
    <row r="90" spans="8:19" s="45" customFormat="1" hidden="1" x14ac:dyDescent="0.25">
      <c r="H90" s="46"/>
      <c r="J90" s="46"/>
      <c r="N90" s="44"/>
      <c r="O90" s="50" t="str">
        <f t="shared" ca="1" si="20"/>
        <v>N/A</v>
      </c>
      <c r="P90" s="45" t="s">
        <v>190</v>
      </c>
      <c r="Q90" s="45" t="str">
        <f t="shared" si="21"/>
        <v>TBD</v>
      </c>
      <c r="R90" s="45">
        <f t="shared" si="22"/>
        <v>0</v>
      </c>
      <c r="S90" s="45" t="str">
        <f t="shared" ca="1" si="23"/>
        <v>No</v>
      </c>
    </row>
    <row r="91" spans="8:19" s="45" customFormat="1" hidden="1" x14ac:dyDescent="0.25">
      <c r="H91" s="46"/>
      <c r="J91" s="46"/>
      <c r="N91" s="44"/>
      <c r="O91" s="50" t="str">
        <f t="shared" ca="1" si="20"/>
        <v>N/A</v>
      </c>
      <c r="P91" s="45" t="s">
        <v>190</v>
      </c>
      <c r="Q91" s="45" t="str">
        <f t="shared" si="21"/>
        <v>TBD</v>
      </c>
      <c r="R91" s="45">
        <f t="shared" si="22"/>
        <v>0</v>
      </c>
      <c r="S91" s="45" t="str">
        <f t="shared" ca="1" si="23"/>
        <v>No</v>
      </c>
    </row>
    <row r="92" spans="8:19" s="45" customFormat="1" hidden="1" x14ac:dyDescent="0.25">
      <c r="H92" s="46"/>
      <c r="J92" s="46"/>
      <c r="N92" s="44"/>
      <c r="O92" s="50" t="str">
        <f t="shared" ca="1" si="20"/>
        <v>N/A</v>
      </c>
      <c r="P92" s="45" t="s">
        <v>190</v>
      </c>
      <c r="Q92" s="45" t="str">
        <f t="shared" si="21"/>
        <v>TBD</v>
      </c>
      <c r="R92" s="45">
        <f t="shared" si="22"/>
        <v>0</v>
      </c>
      <c r="S92" s="45" t="str">
        <f t="shared" ca="1" si="23"/>
        <v>No</v>
      </c>
    </row>
    <row r="93" spans="8:19" s="45" customFormat="1" hidden="1" x14ac:dyDescent="0.25">
      <c r="H93" s="46"/>
      <c r="J93" s="46"/>
      <c r="N93" s="44"/>
      <c r="O93" s="50" t="str">
        <f t="shared" ca="1" si="20"/>
        <v>N/A</v>
      </c>
      <c r="P93" s="45" t="s">
        <v>190</v>
      </c>
      <c r="Q93" s="45" t="str">
        <f t="shared" si="21"/>
        <v>TBD</v>
      </c>
      <c r="R93" s="45">
        <f t="shared" si="22"/>
        <v>0</v>
      </c>
      <c r="S93" s="45" t="str">
        <f t="shared" ca="1" si="23"/>
        <v>No</v>
      </c>
    </row>
    <row r="94" spans="8:19" s="45" customFormat="1" hidden="1" x14ac:dyDescent="0.25">
      <c r="H94" s="46"/>
      <c r="J94" s="46"/>
      <c r="N94" s="44"/>
      <c r="O94" s="50" t="str">
        <f t="shared" ca="1" si="20"/>
        <v>N/A</v>
      </c>
      <c r="P94" s="45" t="s">
        <v>190</v>
      </c>
      <c r="Q94" s="45" t="str">
        <f t="shared" si="21"/>
        <v>TBD</v>
      </c>
      <c r="R94" s="45">
        <f t="shared" si="22"/>
        <v>0</v>
      </c>
      <c r="S94" s="45" t="str">
        <f t="shared" ca="1" si="23"/>
        <v>No</v>
      </c>
    </row>
    <row r="95" spans="8:19" s="45" customFormat="1" hidden="1" x14ac:dyDescent="0.25">
      <c r="H95" s="46"/>
      <c r="J95" s="46"/>
      <c r="N95" s="44"/>
      <c r="O95" s="50" t="str">
        <f t="shared" ca="1" si="20"/>
        <v>N/A</v>
      </c>
      <c r="P95" s="45" t="s">
        <v>190</v>
      </c>
      <c r="Q95" s="45" t="str">
        <f t="shared" si="21"/>
        <v>TBD</v>
      </c>
      <c r="R95" s="45">
        <f t="shared" si="22"/>
        <v>0</v>
      </c>
      <c r="S95" s="45" t="str">
        <f t="shared" ca="1" si="23"/>
        <v>No</v>
      </c>
    </row>
    <row r="96" spans="8:19" s="45" customFormat="1" hidden="1" x14ac:dyDescent="0.25">
      <c r="H96" s="46"/>
      <c r="J96" s="46"/>
      <c r="N96" s="44"/>
      <c r="O96" s="50" t="str">
        <f t="shared" ca="1" si="20"/>
        <v>N/A</v>
      </c>
      <c r="P96" s="45" t="s">
        <v>190</v>
      </c>
      <c r="Q96" s="45" t="str">
        <f t="shared" si="21"/>
        <v>TBD</v>
      </c>
      <c r="R96" s="45">
        <f t="shared" si="22"/>
        <v>0</v>
      </c>
      <c r="S96" s="45" t="str">
        <f t="shared" ca="1" si="23"/>
        <v>No</v>
      </c>
    </row>
    <row r="97" spans="8:19" s="45" customFormat="1" hidden="1" x14ac:dyDescent="0.25">
      <c r="H97" s="46"/>
      <c r="J97" s="46"/>
      <c r="N97" s="44"/>
      <c r="O97" s="50" t="str">
        <f t="shared" ca="1" si="20"/>
        <v>N/A</v>
      </c>
      <c r="P97" s="45" t="s">
        <v>190</v>
      </c>
      <c r="Q97" s="45" t="str">
        <f t="shared" si="21"/>
        <v>TBD</v>
      </c>
      <c r="R97" s="45">
        <f t="shared" si="22"/>
        <v>0</v>
      </c>
      <c r="S97" s="45" t="str">
        <f t="shared" ca="1" si="23"/>
        <v>No</v>
      </c>
    </row>
    <row r="98" spans="8:19" s="45" customFormat="1" hidden="1" x14ac:dyDescent="0.25">
      <c r="H98" s="46"/>
      <c r="J98" s="46"/>
      <c r="N98" s="44"/>
      <c r="O98" s="50" t="str">
        <f t="shared" ca="1" si="20"/>
        <v>N/A</v>
      </c>
      <c r="P98" s="45" t="s">
        <v>190</v>
      </c>
      <c r="Q98" s="45" t="str">
        <f t="shared" si="21"/>
        <v>TBD</v>
      </c>
      <c r="R98" s="45">
        <f t="shared" si="22"/>
        <v>0</v>
      </c>
      <c r="S98" s="45" t="str">
        <f t="shared" ca="1" si="23"/>
        <v>No</v>
      </c>
    </row>
    <row r="99" spans="8:19" s="45" customFormat="1" hidden="1" x14ac:dyDescent="0.25">
      <c r="H99" s="46"/>
      <c r="J99" s="46"/>
      <c r="N99" s="44"/>
      <c r="O99" s="50" t="str">
        <f t="shared" ca="1" si="20"/>
        <v>N/A</v>
      </c>
      <c r="P99" s="45" t="s">
        <v>190</v>
      </c>
      <c r="Q99" s="45" t="str">
        <f t="shared" si="21"/>
        <v>TBD</v>
      </c>
      <c r="R99" s="45">
        <f t="shared" si="22"/>
        <v>0</v>
      </c>
      <c r="S99" s="45" t="str">
        <f t="shared" ca="1" si="23"/>
        <v>No</v>
      </c>
    </row>
    <row r="100" spans="8:19" s="45" customFormat="1" hidden="1" x14ac:dyDescent="0.25">
      <c r="H100" s="46"/>
      <c r="J100" s="46"/>
      <c r="N100" s="44"/>
      <c r="O100" s="50" t="str">
        <f t="shared" ca="1" si="20"/>
        <v>N/A</v>
      </c>
      <c r="P100" s="45" t="s">
        <v>190</v>
      </c>
      <c r="Q100" s="45" t="str">
        <f t="shared" si="21"/>
        <v>TBD</v>
      </c>
      <c r="R100" s="45">
        <f t="shared" si="22"/>
        <v>0</v>
      </c>
      <c r="S100" s="45" t="str">
        <f t="shared" ca="1" si="23"/>
        <v>No</v>
      </c>
    </row>
    <row r="101" spans="8:19" s="45" customFormat="1" hidden="1" x14ac:dyDescent="0.25">
      <c r="H101" s="46"/>
      <c r="J101" s="46"/>
      <c r="N101" s="44"/>
      <c r="O101" s="50" t="str">
        <f t="shared" ca="1" si="20"/>
        <v>N/A</v>
      </c>
      <c r="P101" s="45" t="s">
        <v>190</v>
      </c>
      <c r="Q101" s="45" t="str">
        <f t="shared" si="21"/>
        <v>TBD</v>
      </c>
      <c r="R101" s="45">
        <f t="shared" si="22"/>
        <v>0</v>
      </c>
      <c r="S101" s="45" t="str">
        <f t="shared" ca="1" si="23"/>
        <v>No</v>
      </c>
    </row>
    <row r="102" spans="8:19" s="45" customFormat="1" hidden="1" x14ac:dyDescent="0.25">
      <c r="H102" s="46"/>
      <c r="J102" s="46"/>
      <c r="N102" s="44"/>
      <c r="O102" s="50" t="str">
        <f t="shared" ca="1" si="20"/>
        <v>N/A</v>
      </c>
      <c r="P102" s="45" t="s">
        <v>190</v>
      </c>
      <c r="Q102" s="45" t="str">
        <f t="shared" si="21"/>
        <v>TBD</v>
      </c>
      <c r="R102" s="45">
        <f t="shared" si="22"/>
        <v>0</v>
      </c>
      <c r="S102" s="45" t="str">
        <f t="shared" ca="1" si="23"/>
        <v>No</v>
      </c>
    </row>
    <row r="103" spans="8:19" s="45" customFormat="1" hidden="1" x14ac:dyDescent="0.25">
      <c r="H103" s="46"/>
      <c r="J103" s="46"/>
      <c r="N103" s="44"/>
      <c r="O103" s="50" t="str">
        <f t="shared" ca="1" si="20"/>
        <v>N/A</v>
      </c>
      <c r="P103" s="45" t="s">
        <v>190</v>
      </c>
      <c r="Q103" s="45" t="str">
        <f t="shared" si="21"/>
        <v>TBD</v>
      </c>
      <c r="R103" s="45">
        <f t="shared" si="22"/>
        <v>0</v>
      </c>
      <c r="S103" s="45" t="str">
        <f t="shared" ca="1" si="23"/>
        <v>No</v>
      </c>
    </row>
    <row r="104" spans="8:19" s="45" customFormat="1" hidden="1" x14ac:dyDescent="0.25">
      <c r="H104" s="46"/>
      <c r="J104" s="46"/>
      <c r="N104" s="44"/>
      <c r="O104" s="50" t="str">
        <f t="shared" ca="1" si="20"/>
        <v>N/A</v>
      </c>
      <c r="P104" s="45" t="s">
        <v>190</v>
      </c>
      <c r="Q104" s="45" t="str">
        <f t="shared" si="21"/>
        <v>TBD</v>
      </c>
      <c r="R104" s="45">
        <f t="shared" si="22"/>
        <v>0</v>
      </c>
      <c r="S104" s="45" t="str">
        <f t="shared" ca="1" si="23"/>
        <v>No</v>
      </c>
    </row>
    <row r="105" spans="8:19" s="45" customFormat="1" hidden="1" x14ac:dyDescent="0.25">
      <c r="H105" s="46"/>
      <c r="J105" s="46"/>
      <c r="N105" s="44"/>
      <c r="O105" s="50" t="str">
        <f t="shared" ca="1" si="20"/>
        <v>N/A</v>
      </c>
      <c r="P105" s="45" t="s">
        <v>190</v>
      </c>
      <c r="Q105" s="45" t="str">
        <f t="shared" si="21"/>
        <v>TBD</v>
      </c>
      <c r="R105" s="45">
        <f t="shared" si="22"/>
        <v>0</v>
      </c>
      <c r="S105" s="45" t="str">
        <f t="shared" ca="1" si="23"/>
        <v>No</v>
      </c>
    </row>
    <row r="106" spans="8:19" s="45" customFormat="1" hidden="1" x14ac:dyDescent="0.25">
      <c r="H106" s="46"/>
      <c r="J106" s="46"/>
      <c r="N106" s="44"/>
      <c r="O106" s="50" t="str">
        <f t="shared" ca="1" si="20"/>
        <v>N/A</v>
      </c>
      <c r="P106" s="45" t="s">
        <v>190</v>
      </c>
      <c r="Q106" s="45" t="str">
        <f t="shared" si="21"/>
        <v>TBD</v>
      </c>
      <c r="R106" s="45">
        <f t="shared" si="22"/>
        <v>0</v>
      </c>
      <c r="S106" s="45" t="str">
        <f t="shared" ca="1" si="23"/>
        <v>No</v>
      </c>
    </row>
    <row r="107" spans="8:19" s="45" customFormat="1" hidden="1" x14ac:dyDescent="0.25">
      <c r="H107" s="46"/>
      <c r="J107" s="46"/>
      <c r="N107" s="44"/>
      <c r="O107" s="50" t="str">
        <f t="shared" ca="1" si="20"/>
        <v>N/A</v>
      </c>
      <c r="P107" s="45" t="s">
        <v>190</v>
      </c>
      <c r="Q107" s="45" t="str">
        <f t="shared" si="21"/>
        <v>TBD</v>
      </c>
      <c r="R107" s="45">
        <f t="shared" si="22"/>
        <v>0</v>
      </c>
      <c r="S107" s="45" t="str">
        <f t="shared" ca="1" si="23"/>
        <v>No</v>
      </c>
    </row>
    <row r="108" spans="8:19" s="45" customFormat="1" hidden="1" x14ac:dyDescent="0.25">
      <c r="H108" s="46"/>
      <c r="J108" s="46"/>
      <c r="N108" s="44"/>
      <c r="O108" s="50" t="str">
        <f t="shared" ca="1" si="20"/>
        <v>N/A</v>
      </c>
      <c r="P108" s="45" t="s">
        <v>190</v>
      </c>
      <c r="Q108" s="45" t="str">
        <f t="shared" si="21"/>
        <v>TBD</v>
      </c>
      <c r="R108" s="45">
        <f t="shared" si="22"/>
        <v>0</v>
      </c>
      <c r="S108" s="45" t="str">
        <f t="shared" ca="1" si="23"/>
        <v>No</v>
      </c>
    </row>
    <row r="109" spans="8:19" s="45" customFormat="1" hidden="1" x14ac:dyDescent="0.25">
      <c r="H109" s="46"/>
      <c r="J109" s="46"/>
      <c r="N109" s="44"/>
      <c r="O109" s="50" t="str">
        <f t="shared" ca="1" si="20"/>
        <v>N/A</v>
      </c>
      <c r="P109" s="45" t="s">
        <v>190</v>
      </c>
      <c r="Q109" s="45" t="str">
        <f t="shared" si="21"/>
        <v>TBD</v>
      </c>
      <c r="R109" s="45">
        <f t="shared" si="22"/>
        <v>0</v>
      </c>
      <c r="S109" s="45" t="str">
        <f t="shared" ca="1" si="23"/>
        <v>No</v>
      </c>
    </row>
    <row r="110" spans="8:19" s="45" customFormat="1" hidden="1" x14ac:dyDescent="0.25">
      <c r="H110" s="46"/>
      <c r="J110" s="46"/>
      <c r="N110" s="44"/>
      <c r="O110" s="50" t="str">
        <f t="shared" ca="1" si="20"/>
        <v>N/A</v>
      </c>
      <c r="P110" s="45" t="s">
        <v>190</v>
      </c>
      <c r="Q110" s="45" t="str">
        <f t="shared" si="21"/>
        <v>TBD</v>
      </c>
      <c r="R110" s="45">
        <f t="shared" si="22"/>
        <v>0</v>
      </c>
      <c r="S110" s="45" t="str">
        <f t="shared" ca="1" si="23"/>
        <v>No</v>
      </c>
    </row>
    <row r="111" spans="8:19" s="45" customFormat="1" hidden="1" x14ac:dyDescent="0.25">
      <c r="H111" s="46"/>
      <c r="J111" s="46"/>
      <c r="N111" s="44"/>
      <c r="O111" s="50" t="str">
        <f t="shared" ca="1" si="20"/>
        <v>N/A</v>
      </c>
      <c r="P111" s="45" t="s">
        <v>190</v>
      </c>
      <c r="Q111" s="45" t="str">
        <f t="shared" si="21"/>
        <v>TBD</v>
      </c>
      <c r="R111" s="45">
        <f t="shared" si="22"/>
        <v>0</v>
      </c>
      <c r="S111" s="45" t="str">
        <f t="shared" ca="1" si="23"/>
        <v>No</v>
      </c>
    </row>
    <row r="112" spans="8:19" s="45" customFormat="1" hidden="1" x14ac:dyDescent="0.25">
      <c r="H112" s="46"/>
      <c r="J112" s="46"/>
      <c r="N112" s="44"/>
      <c r="O112" s="50" t="str">
        <f t="shared" ca="1" si="20"/>
        <v>N/A</v>
      </c>
      <c r="P112" s="45" t="s">
        <v>190</v>
      </c>
      <c r="Q112" s="45" t="str">
        <f t="shared" si="21"/>
        <v>TBD</v>
      </c>
      <c r="R112" s="45">
        <f t="shared" si="22"/>
        <v>0</v>
      </c>
      <c r="S112" s="45" t="str">
        <f t="shared" ca="1" si="23"/>
        <v>No</v>
      </c>
    </row>
    <row r="113" spans="8:19" s="45" customFormat="1" hidden="1" x14ac:dyDescent="0.25">
      <c r="H113" s="46"/>
      <c r="J113" s="46"/>
      <c r="N113" s="44"/>
      <c r="O113" s="50" t="str">
        <f t="shared" ca="1" si="20"/>
        <v>N/A</v>
      </c>
      <c r="P113" s="45" t="s">
        <v>190</v>
      </c>
      <c r="Q113" s="45" t="str">
        <f t="shared" si="21"/>
        <v>TBD</v>
      </c>
      <c r="R113" s="45">
        <f t="shared" si="22"/>
        <v>0</v>
      </c>
      <c r="S113" s="45" t="str">
        <f t="shared" ca="1" si="23"/>
        <v>No</v>
      </c>
    </row>
    <row r="114" spans="8:19" s="45" customFormat="1" hidden="1" x14ac:dyDescent="0.25">
      <c r="H114" s="46"/>
      <c r="J114" s="46"/>
      <c r="N114" s="44"/>
      <c r="O114" s="50" t="str">
        <f t="shared" ca="1" si="20"/>
        <v>N/A</v>
      </c>
      <c r="P114" s="45" t="s">
        <v>190</v>
      </c>
      <c r="Q114" s="45" t="str">
        <f t="shared" si="21"/>
        <v>TBD</v>
      </c>
      <c r="R114" s="45">
        <f t="shared" si="22"/>
        <v>0</v>
      </c>
      <c r="S114" s="45" t="str">
        <f t="shared" ca="1" si="23"/>
        <v>No</v>
      </c>
    </row>
    <row r="115" spans="8:19" s="45" customFormat="1" hidden="1" x14ac:dyDescent="0.25">
      <c r="H115" s="46"/>
      <c r="J115" s="46"/>
      <c r="N115" s="44"/>
      <c r="O115" s="50" t="str">
        <f t="shared" ca="1" si="20"/>
        <v>N/A</v>
      </c>
      <c r="P115" s="45" t="s">
        <v>190</v>
      </c>
      <c r="Q115" s="45" t="str">
        <f t="shared" si="21"/>
        <v>TBD</v>
      </c>
      <c r="R115" s="45">
        <f t="shared" si="22"/>
        <v>0</v>
      </c>
      <c r="S115" s="45" t="str">
        <f t="shared" ca="1" si="23"/>
        <v>No</v>
      </c>
    </row>
    <row r="116" spans="8:19" s="45" customFormat="1" hidden="1" x14ac:dyDescent="0.25">
      <c r="H116" s="46"/>
      <c r="J116" s="46"/>
      <c r="N116" s="44"/>
      <c r="O116" s="50" t="str">
        <f t="shared" ca="1" si="20"/>
        <v>N/A</v>
      </c>
      <c r="P116" s="45" t="s">
        <v>190</v>
      </c>
      <c r="Q116" s="45" t="str">
        <f t="shared" si="21"/>
        <v>TBD</v>
      </c>
      <c r="R116" s="45">
        <f t="shared" si="22"/>
        <v>0</v>
      </c>
      <c r="S116" s="45" t="str">
        <f t="shared" ca="1" si="23"/>
        <v>No</v>
      </c>
    </row>
    <row r="117" spans="8:19" s="45" customFormat="1" hidden="1" x14ac:dyDescent="0.25">
      <c r="H117" s="46"/>
      <c r="J117" s="46"/>
      <c r="N117" s="44"/>
      <c r="O117" s="50" t="str">
        <f t="shared" ca="1" si="20"/>
        <v>N/A</v>
      </c>
      <c r="P117" s="45" t="s">
        <v>190</v>
      </c>
      <c r="Q117" s="45" t="str">
        <f t="shared" si="21"/>
        <v>TBD</v>
      </c>
      <c r="R117" s="45">
        <f t="shared" si="22"/>
        <v>0</v>
      </c>
      <c r="S117" s="45" t="str">
        <f t="shared" ca="1" si="23"/>
        <v>No</v>
      </c>
    </row>
    <row r="118" spans="8:19" s="45" customFormat="1" hidden="1" x14ac:dyDescent="0.25">
      <c r="H118" s="46"/>
      <c r="J118" s="46"/>
      <c r="N118" s="44"/>
      <c r="O118" s="50" t="str">
        <f t="shared" ca="1" si="20"/>
        <v>N/A</v>
      </c>
      <c r="P118" s="45" t="s">
        <v>190</v>
      </c>
      <c r="Q118" s="45" t="str">
        <f t="shared" si="21"/>
        <v>TBD</v>
      </c>
      <c r="R118" s="45">
        <f t="shared" si="22"/>
        <v>0</v>
      </c>
      <c r="S118" s="45" t="str">
        <f t="shared" ca="1" si="23"/>
        <v>No</v>
      </c>
    </row>
    <row r="119" spans="8:19" s="45" customFormat="1" hidden="1" x14ac:dyDescent="0.25">
      <c r="H119" s="46"/>
      <c r="J119" s="46"/>
      <c r="N119" s="44"/>
      <c r="O119" s="50" t="str">
        <f t="shared" ca="1" si="20"/>
        <v>N/A</v>
      </c>
      <c r="P119" s="45" t="s">
        <v>190</v>
      </c>
      <c r="Q119" s="45" t="str">
        <f t="shared" si="21"/>
        <v>TBD</v>
      </c>
      <c r="R119" s="45">
        <f t="shared" si="22"/>
        <v>0</v>
      </c>
      <c r="S119" s="45" t="str">
        <f t="shared" ca="1" si="23"/>
        <v>No</v>
      </c>
    </row>
    <row r="120" spans="8:19" s="45" customFormat="1" hidden="1" x14ac:dyDescent="0.25">
      <c r="H120" s="46"/>
      <c r="J120" s="46"/>
      <c r="N120" s="44"/>
      <c r="O120" s="50" t="str">
        <f t="shared" ca="1" si="20"/>
        <v>N/A</v>
      </c>
      <c r="P120" s="45" t="s">
        <v>190</v>
      </c>
      <c r="Q120" s="45" t="str">
        <f t="shared" si="21"/>
        <v>TBD</v>
      </c>
      <c r="R120" s="45">
        <f t="shared" si="22"/>
        <v>0</v>
      </c>
      <c r="S120" s="45" t="str">
        <f t="shared" ca="1" si="23"/>
        <v>No</v>
      </c>
    </row>
    <row r="121" spans="8:19" s="45" customFormat="1" hidden="1" x14ac:dyDescent="0.25">
      <c r="H121" s="46"/>
      <c r="J121" s="46"/>
      <c r="N121" s="44"/>
      <c r="O121" s="50" t="str">
        <f t="shared" ref="O121:O152" ca="1" si="24">IF(K121="Completed","-",IF(ISNUMBER(J121),J121-TODAY(),"N/A"))</f>
        <v>N/A</v>
      </c>
      <c r="P121" s="45" t="s">
        <v>190</v>
      </c>
      <c r="Q121" s="45" t="str">
        <f t="shared" ref="Q121:Q152" si="25">IF(ISNUMBER(J121),"Q"&amp;INT((MONTH(J121)-1)/3)+1&amp;" "&amp;YEAR(J121),"TBD")</f>
        <v>TBD</v>
      </c>
      <c r="R121" s="45">
        <f t="shared" ref="R121:R152" si="26">IF(K121="Completed",100,IF(K121="In progress",50,IF(K121="Assigned",25,IF(K121="Not Started",0,IF(K121="TBD",0,0)))))</f>
        <v>0</v>
      </c>
      <c r="S121" s="45" t="str">
        <f t="shared" ref="S121:S152" ca="1" si="27">IF(AND(ISNUMBER(O121),O121&lt;0,K121&lt;&gt;"Completed"),"⚠️ YES","No")</f>
        <v>No</v>
      </c>
    </row>
    <row r="122" spans="8:19" s="45" customFormat="1" hidden="1" x14ac:dyDescent="0.25">
      <c r="H122" s="46"/>
      <c r="J122" s="46"/>
      <c r="N122" s="44"/>
      <c r="O122" s="50" t="str">
        <f t="shared" ca="1" si="24"/>
        <v>N/A</v>
      </c>
      <c r="P122" s="45" t="s">
        <v>190</v>
      </c>
      <c r="Q122" s="45" t="str">
        <f t="shared" si="25"/>
        <v>TBD</v>
      </c>
      <c r="R122" s="45">
        <f t="shared" si="26"/>
        <v>0</v>
      </c>
      <c r="S122" s="45" t="str">
        <f t="shared" ca="1" si="27"/>
        <v>No</v>
      </c>
    </row>
    <row r="123" spans="8:19" s="45" customFormat="1" hidden="1" x14ac:dyDescent="0.25">
      <c r="H123" s="46"/>
      <c r="J123" s="46"/>
      <c r="N123" s="44"/>
      <c r="O123" s="50" t="str">
        <f t="shared" ca="1" si="24"/>
        <v>N/A</v>
      </c>
      <c r="P123" s="45" t="s">
        <v>190</v>
      </c>
      <c r="Q123" s="45" t="str">
        <f t="shared" si="25"/>
        <v>TBD</v>
      </c>
      <c r="R123" s="45">
        <f t="shared" si="26"/>
        <v>0</v>
      </c>
      <c r="S123" s="45" t="str">
        <f t="shared" ca="1" si="27"/>
        <v>No</v>
      </c>
    </row>
    <row r="124" spans="8:19" s="45" customFormat="1" hidden="1" x14ac:dyDescent="0.25">
      <c r="H124" s="46"/>
      <c r="J124" s="46"/>
      <c r="N124" s="44"/>
      <c r="O124" s="50" t="str">
        <f t="shared" ca="1" si="24"/>
        <v>N/A</v>
      </c>
      <c r="P124" s="45" t="s">
        <v>190</v>
      </c>
      <c r="Q124" s="45" t="str">
        <f t="shared" si="25"/>
        <v>TBD</v>
      </c>
      <c r="R124" s="45">
        <f t="shared" si="26"/>
        <v>0</v>
      </c>
      <c r="S124" s="45" t="str">
        <f t="shared" ca="1" si="27"/>
        <v>No</v>
      </c>
    </row>
    <row r="125" spans="8:19" s="45" customFormat="1" hidden="1" x14ac:dyDescent="0.25">
      <c r="H125" s="46"/>
      <c r="J125" s="46"/>
      <c r="N125" s="44"/>
      <c r="O125" s="50" t="str">
        <f t="shared" ca="1" si="24"/>
        <v>N/A</v>
      </c>
      <c r="P125" s="45" t="s">
        <v>190</v>
      </c>
      <c r="Q125" s="45" t="str">
        <f t="shared" si="25"/>
        <v>TBD</v>
      </c>
      <c r="R125" s="45">
        <f t="shared" si="26"/>
        <v>0</v>
      </c>
      <c r="S125" s="45" t="str">
        <f t="shared" ca="1" si="27"/>
        <v>No</v>
      </c>
    </row>
    <row r="126" spans="8:19" s="45" customFormat="1" hidden="1" x14ac:dyDescent="0.25">
      <c r="H126" s="46"/>
      <c r="J126" s="46"/>
      <c r="N126" s="44"/>
      <c r="O126" s="50" t="str">
        <f t="shared" ca="1" si="24"/>
        <v>N/A</v>
      </c>
      <c r="P126" s="45" t="s">
        <v>190</v>
      </c>
      <c r="Q126" s="45" t="str">
        <f t="shared" si="25"/>
        <v>TBD</v>
      </c>
      <c r="R126" s="45">
        <f t="shared" si="26"/>
        <v>0</v>
      </c>
      <c r="S126" s="45" t="str">
        <f t="shared" ca="1" si="27"/>
        <v>No</v>
      </c>
    </row>
    <row r="127" spans="8:19" s="45" customFormat="1" hidden="1" x14ac:dyDescent="0.25">
      <c r="H127" s="46"/>
      <c r="J127" s="46"/>
      <c r="N127" s="44"/>
      <c r="O127" s="50" t="str">
        <f t="shared" ca="1" si="24"/>
        <v>N/A</v>
      </c>
      <c r="P127" s="45" t="s">
        <v>190</v>
      </c>
      <c r="Q127" s="45" t="str">
        <f t="shared" si="25"/>
        <v>TBD</v>
      </c>
      <c r="R127" s="45">
        <f t="shared" si="26"/>
        <v>0</v>
      </c>
      <c r="S127" s="45" t="str">
        <f t="shared" ca="1" si="27"/>
        <v>No</v>
      </c>
    </row>
    <row r="128" spans="8:19" s="45" customFormat="1" hidden="1" x14ac:dyDescent="0.25">
      <c r="H128" s="46"/>
      <c r="J128" s="46"/>
      <c r="N128" s="44"/>
      <c r="O128" s="50" t="str">
        <f t="shared" ca="1" si="24"/>
        <v>N/A</v>
      </c>
      <c r="P128" s="45" t="s">
        <v>190</v>
      </c>
      <c r="Q128" s="45" t="str">
        <f t="shared" si="25"/>
        <v>TBD</v>
      </c>
      <c r="R128" s="45">
        <f t="shared" si="26"/>
        <v>0</v>
      </c>
      <c r="S128" s="45" t="str">
        <f t="shared" ca="1" si="27"/>
        <v>No</v>
      </c>
    </row>
    <row r="129" spans="8:19" s="45" customFormat="1" hidden="1" x14ac:dyDescent="0.25">
      <c r="H129" s="46"/>
      <c r="J129" s="46"/>
      <c r="N129" s="44"/>
      <c r="O129" s="50" t="str">
        <f t="shared" ca="1" si="24"/>
        <v>N/A</v>
      </c>
      <c r="P129" s="45" t="s">
        <v>190</v>
      </c>
      <c r="Q129" s="45" t="str">
        <f t="shared" si="25"/>
        <v>TBD</v>
      </c>
      <c r="R129" s="45">
        <f t="shared" si="26"/>
        <v>0</v>
      </c>
      <c r="S129" s="45" t="str">
        <f t="shared" ca="1" si="27"/>
        <v>No</v>
      </c>
    </row>
    <row r="130" spans="8:19" s="45" customFormat="1" hidden="1" x14ac:dyDescent="0.25">
      <c r="H130" s="46"/>
      <c r="J130" s="46"/>
      <c r="N130" s="44"/>
      <c r="O130" s="50" t="str">
        <f t="shared" ca="1" si="24"/>
        <v>N/A</v>
      </c>
      <c r="P130" s="45" t="s">
        <v>190</v>
      </c>
      <c r="Q130" s="45" t="str">
        <f t="shared" si="25"/>
        <v>TBD</v>
      </c>
      <c r="R130" s="45">
        <f t="shared" si="26"/>
        <v>0</v>
      </c>
      <c r="S130" s="45" t="str">
        <f t="shared" ca="1" si="27"/>
        <v>No</v>
      </c>
    </row>
    <row r="131" spans="8:19" s="45" customFormat="1" hidden="1" x14ac:dyDescent="0.25">
      <c r="H131" s="46"/>
      <c r="J131" s="46"/>
      <c r="N131" s="44"/>
      <c r="O131" s="50" t="str">
        <f t="shared" ca="1" si="24"/>
        <v>N/A</v>
      </c>
      <c r="P131" s="45" t="s">
        <v>190</v>
      </c>
      <c r="Q131" s="45" t="str">
        <f t="shared" si="25"/>
        <v>TBD</v>
      </c>
      <c r="R131" s="45">
        <f t="shared" si="26"/>
        <v>0</v>
      </c>
      <c r="S131" s="45" t="str">
        <f t="shared" ca="1" si="27"/>
        <v>No</v>
      </c>
    </row>
    <row r="132" spans="8:19" s="45" customFormat="1" hidden="1" x14ac:dyDescent="0.25">
      <c r="H132" s="46"/>
      <c r="J132" s="46"/>
      <c r="N132" s="44"/>
      <c r="O132" s="50" t="str">
        <f t="shared" ca="1" si="24"/>
        <v>N/A</v>
      </c>
      <c r="P132" s="45" t="s">
        <v>190</v>
      </c>
      <c r="Q132" s="45" t="str">
        <f t="shared" si="25"/>
        <v>TBD</v>
      </c>
      <c r="R132" s="45">
        <f t="shared" si="26"/>
        <v>0</v>
      </c>
      <c r="S132" s="45" t="str">
        <f t="shared" ca="1" si="27"/>
        <v>No</v>
      </c>
    </row>
    <row r="133" spans="8:19" s="45" customFormat="1" hidden="1" x14ac:dyDescent="0.25">
      <c r="H133" s="46"/>
      <c r="J133" s="46"/>
      <c r="N133" s="44"/>
      <c r="O133" s="50" t="str">
        <f t="shared" ca="1" si="24"/>
        <v>N/A</v>
      </c>
      <c r="P133" s="45" t="s">
        <v>190</v>
      </c>
      <c r="Q133" s="45" t="str">
        <f t="shared" si="25"/>
        <v>TBD</v>
      </c>
      <c r="R133" s="45">
        <f t="shared" si="26"/>
        <v>0</v>
      </c>
      <c r="S133" s="45" t="str">
        <f t="shared" ca="1" si="27"/>
        <v>No</v>
      </c>
    </row>
    <row r="134" spans="8:19" s="45" customFormat="1" hidden="1" x14ac:dyDescent="0.25">
      <c r="H134" s="46"/>
      <c r="J134" s="46"/>
      <c r="N134" s="44"/>
      <c r="O134" s="50" t="str">
        <f t="shared" ca="1" si="24"/>
        <v>N/A</v>
      </c>
      <c r="P134" s="45" t="s">
        <v>190</v>
      </c>
      <c r="Q134" s="45" t="str">
        <f t="shared" si="25"/>
        <v>TBD</v>
      </c>
      <c r="R134" s="45">
        <f t="shared" si="26"/>
        <v>0</v>
      </c>
      <c r="S134" s="45" t="str">
        <f t="shared" ca="1" si="27"/>
        <v>No</v>
      </c>
    </row>
    <row r="135" spans="8:19" s="45" customFormat="1" hidden="1" x14ac:dyDescent="0.25">
      <c r="H135" s="46"/>
      <c r="J135" s="46"/>
      <c r="N135" s="44"/>
      <c r="O135" s="50" t="str">
        <f t="shared" ca="1" si="24"/>
        <v>N/A</v>
      </c>
      <c r="P135" s="45" t="s">
        <v>190</v>
      </c>
      <c r="Q135" s="45" t="str">
        <f t="shared" si="25"/>
        <v>TBD</v>
      </c>
      <c r="R135" s="45">
        <f t="shared" si="26"/>
        <v>0</v>
      </c>
      <c r="S135" s="45" t="str">
        <f t="shared" ca="1" si="27"/>
        <v>No</v>
      </c>
    </row>
    <row r="136" spans="8:19" s="45" customFormat="1" hidden="1" x14ac:dyDescent="0.25">
      <c r="H136" s="46"/>
      <c r="J136" s="46"/>
      <c r="N136" s="44"/>
      <c r="O136" s="50" t="str">
        <f t="shared" ca="1" si="24"/>
        <v>N/A</v>
      </c>
      <c r="P136" s="45" t="s">
        <v>190</v>
      </c>
      <c r="Q136" s="45" t="str">
        <f t="shared" si="25"/>
        <v>TBD</v>
      </c>
      <c r="R136" s="45">
        <f t="shared" si="26"/>
        <v>0</v>
      </c>
      <c r="S136" s="45" t="str">
        <f t="shared" ca="1" si="27"/>
        <v>No</v>
      </c>
    </row>
    <row r="137" spans="8:19" s="45" customFormat="1" hidden="1" x14ac:dyDescent="0.25">
      <c r="H137" s="46"/>
      <c r="J137" s="46"/>
      <c r="N137" s="44"/>
      <c r="O137" s="50" t="str">
        <f t="shared" ca="1" si="24"/>
        <v>N/A</v>
      </c>
      <c r="P137" s="45" t="s">
        <v>190</v>
      </c>
      <c r="Q137" s="45" t="str">
        <f t="shared" si="25"/>
        <v>TBD</v>
      </c>
      <c r="R137" s="45">
        <f t="shared" si="26"/>
        <v>0</v>
      </c>
      <c r="S137" s="45" t="str">
        <f t="shared" ca="1" si="27"/>
        <v>No</v>
      </c>
    </row>
    <row r="138" spans="8:19" s="45" customFormat="1" hidden="1" x14ac:dyDescent="0.25">
      <c r="H138" s="46"/>
      <c r="J138" s="46"/>
      <c r="N138" s="44"/>
      <c r="O138" s="50" t="str">
        <f t="shared" ca="1" si="24"/>
        <v>N/A</v>
      </c>
      <c r="P138" s="45" t="s">
        <v>190</v>
      </c>
      <c r="Q138" s="45" t="str">
        <f t="shared" si="25"/>
        <v>TBD</v>
      </c>
      <c r="R138" s="45">
        <f t="shared" si="26"/>
        <v>0</v>
      </c>
      <c r="S138" s="45" t="str">
        <f t="shared" ca="1" si="27"/>
        <v>No</v>
      </c>
    </row>
    <row r="139" spans="8:19" s="45" customFormat="1" hidden="1" x14ac:dyDescent="0.25">
      <c r="H139" s="46"/>
      <c r="J139" s="46"/>
      <c r="N139" s="44"/>
      <c r="O139" s="50" t="str">
        <f t="shared" ca="1" si="24"/>
        <v>N/A</v>
      </c>
      <c r="P139" s="45" t="s">
        <v>190</v>
      </c>
      <c r="Q139" s="45" t="str">
        <f t="shared" si="25"/>
        <v>TBD</v>
      </c>
      <c r="R139" s="45">
        <f t="shared" si="26"/>
        <v>0</v>
      </c>
      <c r="S139" s="45" t="str">
        <f t="shared" ca="1" si="27"/>
        <v>No</v>
      </c>
    </row>
    <row r="140" spans="8:19" s="45" customFormat="1" hidden="1" x14ac:dyDescent="0.25">
      <c r="H140" s="46"/>
      <c r="J140" s="46"/>
      <c r="N140" s="44"/>
      <c r="O140" s="50" t="str">
        <f t="shared" ca="1" si="24"/>
        <v>N/A</v>
      </c>
      <c r="P140" s="45" t="s">
        <v>190</v>
      </c>
      <c r="Q140" s="45" t="str">
        <f t="shared" si="25"/>
        <v>TBD</v>
      </c>
      <c r="R140" s="45">
        <f t="shared" si="26"/>
        <v>0</v>
      </c>
      <c r="S140" s="45" t="str">
        <f t="shared" ca="1" si="27"/>
        <v>No</v>
      </c>
    </row>
    <row r="141" spans="8:19" s="45" customFormat="1" hidden="1" x14ac:dyDescent="0.25">
      <c r="H141" s="46"/>
      <c r="J141" s="46"/>
      <c r="N141" s="44"/>
      <c r="O141" s="50" t="str">
        <f t="shared" ca="1" si="24"/>
        <v>N/A</v>
      </c>
      <c r="P141" s="45" t="s">
        <v>190</v>
      </c>
      <c r="Q141" s="45" t="str">
        <f t="shared" si="25"/>
        <v>TBD</v>
      </c>
      <c r="R141" s="45">
        <f t="shared" si="26"/>
        <v>0</v>
      </c>
      <c r="S141" s="45" t="str">
        <f t="shared" ca="1" si="27"/>
        <v>No</v>
      </c>
    </row>
    <row r="142" spans="8:19" s="45" customFormat="1" hidden="1" x14ac:dyDescent="0.25">
      <c r="H142" s="46"/>
      <c r="J142" s="46"/>
      <c r="N142" s="44"/>
      <c r="O142" s="50" t="str">
        <f t="shared" ca="1" si="24"/>
        <v>N/A</v>
      </c>
      <c r="P142" s="45" t="s">
        <v>190</v>
      </c>
      <c r="Q142" s="45" t="str">
        <f t="shared" si="25"/>
        <v>TBD</v>
      </c>
      <c r="R142" s="45">
        <f t="shared" si="26"/>
        <v>0</v>
      </c>
      <c r="S142" s="45" t="str">
        <f t="shared" ca="1" si="27"/>
        <v>No</v>
      </c>
    </row>
    <row r="143" spans="8:19" s="45" customFormat="1" hidden="1" x14ac:dyDescent="0.25">
      <c r="H143" s="46"/>
      <c r="J143" s="46"/>
      <c r="N143" s="44"/>
      <c r="O143" s="50" t="str">
        <f t="shared" ca="1" si="24"/>
        <v>N/A</v>
      </c>
      <c r="P143" s="45" t="s">
        <v>190</v>
      </c>
      <c r="Q143" s="45" t="str">
        <f t="shared" si="25"/>
        <v>TBD</v>
      </c>
      <c r="R143" s="45">
        <f t="shared" si="26"/>
        <v>0</v>
      </c>
      <c r="S143" s="45" t="str">
        <f t="shared" ca="1" si="27"/>
        <v>No</v>
      </c>
    </row>
    <row r="144" spans="8:19" s="45" customFormat="1" hidden="1" x14ac:dyDescent="0.25">
      <c r="H144" s="46"/>
      <c r="J144" s="46"/>
      <c r="N144" s="44"/>
      <c r="O144" s="50" t="str">
        <f t="shared" ca="1" si="24"/>
        <v>N/A</v>
      </c>
      <c r="P144" s="45" t="s">
        <v>190</v>
      </c>
      <c r="Q144" s="45" t="str">
        <f t="shared" si="25"/>
        <v>TBD</v>
      </c>
      <c r="R144" s="45">
        <f t="shared" si="26"/>
        <v>0</v>
      </c>
      <c r="S144" s="45" t="str">
        <f t="shared" ca="1" si="27"/>
        <v>No</v>
      </c>
    </row>
    <row r="145" spans="8:19" s="45" customFormat="1" hidden="1" x14ac:dyDescent="0.25">
      <c r="H145" s="46"/>
      <c r="J145" s="46"/>
      <c r="N145" s="44"/>
      <c r="O145" s="50" t="str">
        <f t="shared" ca="1" si="24"/>
        <v>N/A</v>
      </c>
      <c r="P145" s="45" t="s">
        <v>190</v>
      </c>
      <c r="Q145" s="45" t="str">
        <f t="shared" si="25"/>
        <v>TBD</v>
      </c>
      <c r="R145" s="45">
        <f t="shared" si="26"/>
        <v>0</v>
      </c>
      <c r="S145" s="45" t="str">
        <f t="shared" ca="1" si="27"/>
        <v>No</v>
      </c>
    </row>
    <row r="146" spans="8:19" s="45" customFormat="1" hidden="1" x14ac:dyDescent="0.25">
      <c r="H146" s="46"/>
      <c r="J146" s="46"/>
      <c r="N146" s="44"/>
      <c r="O146" s="50" t="str">
        <f t="shared" ca="1" si="24"/>
        <v>N/A</v>
      </c>
      <c r="P146" s="45" t="s">
        <v>190</v>
      </c>
      <c r="Q146" s="45" t="str">
        <f t="shared" si="25"/>
        <v>TBD</v>
      </c>
      <c r="R146" s="45">
        <f t="shared" si="26"/>
        <v>0</v>
      </c>
      <c r="S146" s="45" t="str">
        <f t="shared" ca="1" si="27"/>
        <v>No</v>
      </c>
    </row>
    <row r="147" spans="8:19" s="45" customFormat="1" hidden="1" x14ac:dyDescent="0.25">
      <c r="H147" s="46"/>
      <c r="J147" s="46"/>
      <c r="N147" s="44"/>
      <c r="O147" s="50" t="str">
        <f t="shared" ca="1" si="24"/>
        <v>N/A</v>
      </c>
      <c r="P147" s="45" t="s">
        <v>190</v>
      </c>
      <c r="Q147" s="45" t="str">
        <f t="shared" si="25"/>
        <v>TBD</v>
      </c>
      <c r="R147" s="45">
        <f t="shared" si="26"/>
        <v>0</v>
      </c>
      <c r="S147" s="45" t="str">
        <f t="shared" ca="1" si="27"/>
        <v>No</v>
      </c>
    </row>
    <row r="148" spans="8:19" s="45" customFormat="1" hidden="1" x14ac:dyDescent="0.25">
      <c r="H148" s="46"/>
      <c r="J148" s="46"/>
      <c r="N148" s="44"/>
      <c r="O148" s="50" t="str">
        <f t="shared" ca="1" si="24"/>
        <v>N/A</v>
      </c>
      <c r="P148" s="45" t="s">
        <v>190</v>
      </c>
      <c r="Q148" s="45" t="str">
        <f t="shared" si="25"/>
        <v>TBD</v>
      </c>
      <c r="R148" s="45">
        <f t="shared" si="26"/>
        <v>0</v>
      </c>
      <c r="S148" s="45" t="str">
        <f t="shared" ca="1" si="27"/>
        <v>No</v>
      </c>
    </row>
    <row r="149" spans="8:19" s="45" customFormat="1" hidden="1" x14ac:dyDescent="0.25">
      <c r="H149" s="46"/>
      <c r="J149" s="46"/>
      <c r="N149" s="44"/>
      <c r="O149" s="50" t="str">
        <f t="shared" ca="1" si="24"/>
        <v>N/A</v>
      </c>
      <c r="P149" s="45" t="s">
        <v>190</v>
      </c>
      <c r="Q149" s="45" t="str">
        <f t="shared" si="25"/>
        <v>TBD</v>
      </c>
      <c r="R149" s="45">
        <f t="shared" si="26"/>
        <v>0</v>
      </c>
      <c r="S149" s="45" t="str">
        <f t="shared" ca="1" si="27"/>
        <v>No</v>
      </c>
    </row>
    <row r="150" spans="8:19" s="45" customFormat="1" hidden="1" x14ac:dyDescent="0.25">
      <c r="H150" s="46"/>
      <c r="J150" s="46"/>
      <c r="N150" s="44"/>
      <c r="O150" s="50" t="str">
        <f t="shared" ca="1" si="24"/>
        <v>N/A</v>
      </c>
      <c r="P150" s="45" t="s">
        <v>190</v>
      </c>
      <c r="Q150" s="45" t="str">
        <f t="shared" si="25"/>
        <v>TBD</v>
      </c>
      <c r="R150" s="45">
        <f t="shared" si="26"/>
        <v>0</v>
      </c>
      <c r="S150" s="45" t="str">
        <f t="shared" ca="1" si="27"/>
        <v>No</v>
      </c>
    </row>
    <row r="151" spans="8:19" s="45" customFormat="1" hidden="1" x14ac:dyDescent="0.25">
      <c r="H151" s="46"/>
      <c r="J151" s="46"/>
      <c r="N151" s="44"/>
      <c r="O151" s="50" t="str">
        <f t="shared" ca="1" si="24"/>
        <v>N/A</v>
      </c>
      <c r="P151" s="45" t="s">
        <v>190</v>
      </c>
      <c r="Q151" s="45" t="str">
        <f t="shared" si="25"/>
        <v>TBD</v>
      </c>
      <c r="R151" s="45">
        <f t="shared" si="26"/>
        <v>0</v>
      </c>
      <c r="S151" s="45" t="str">
        <f t="shared" ca="1" si="27"/>
        <v>No</v>
      </c>
    </row>
    <row r="152" spans="8:19" s="45" customFormat="1" hidden="1" x14ac:dyDescent="0.25">
      <c r="H152" s="46"/>
      <c r="J152" s="46"/>
      <c r="N152" s="44"/>
      <c r="O152" s="50" t="str">
        <f t="shared" ca="1" si="24"/>
        <v>N/A</v>
      </c>
      <c r="P152" s="45" t="s">
        <v>190</v>
      </c>
      <c r="Q152" s="45" t="str">
        <f t="shared" si="25"/>
        <v>TBD</v>
      </c>
      <c r="R152" s="45">
        <f t="shared" si="26"/>
        <v>0</v>
      </c>
      <c r="S152" s="45" t="str">
        <f t="shared" ca="1" si="27"/>
        <v>No</v>
      </c>
    </row>
    <row r="153" spans="8:19" s="45" customFormat="1" hidden="1" x14ac:dyDescent="0.25">
      <c r="H153" s="46"/>
      <c r="J153" s="46"/>
      <c r="N153" s="44"/>
      <c r="O153" s="50" t="str">
        <f t="shared" ref="O153:O158" ca="1" si="28">IF(K153="Completed","-",IF(ISNUMBER(J153),J153-TODAY(),"N/A"))</f>
        <v>N/A</v>
      </c>
      <c r="P153" s="45" t="s">
        <v>190</v>
      </c>
      <c r="Q153" s="45" t="str">
        <f t="shared" ref="Q153:Q158" si="29">IF(ISNUMBER(J153),"Q"&amp;INT((MONTH(J153)-1)/3)+1&amp;" "&amp;YEAR(J153),"TBD")</f>
        <v>TBD</v>
      </c>
      <c r="R153" s="45">
        <f t="shared" ref="R153:R158" si="30">IF(K153="Completed",100,IF(K153="In progress",50,IF(K153="Assigned",25,IF(K153="Not Started",0,IF(K153="TBD",0,0)))))</f>
        <v>0</v>
      </c>
      <c r="S153" s="45" t="str">
        <f t="shared" ref="S153:S158" ca="1" si="31">IF(AND(ISNUMBER(O153),O153&lt;0,K153&lt;&gt;"Completed"),"⚠️ YES","No")</f>
        <v>No</v>
      </c>
    </row>
    <row r="154" spans="8:19" s="45" customFormat="1" hidden="1" x14ac:dyDescent="0.25">
      <c r="H154" s="46"/>
      <c r="J154" s="46"/>
      <c r="N154" s="44"/>
      <c r="O154" s="50" t="str">
        <f t="shared" ca="1" si="28"/>
        <v>N/A</v>
      </c>
      <c r="P154" s="45" t="s">
        <v>190</v>
      </c>
      <c r="Q154" s="45" t="str">
        <f t="shared" si="29"/>
        <v>TBD</v>
      </c>
      <c r="R154" s="45">
        <f t="shared" si="30"/>
        <v>0</v>
      </c>
      <c r="S154" s="45" t="str">
        <f t="shared" ca="1" si="31"/>
        <v>No</v>
      </c>
    </row>
    <row r="155" spans="8:19" s="45" customFormat="1" hidden="1" x14ac:dyDescent="0.25">
      <c r="H155" s="46"/>
      <c r="J155" s="46"/>
      <c r="N155" s="44"/>
      <c r="O155" s="50" t="str">
        <f t="shared" ca="1" si="28"/>
        <v>N/A</v>
      </c>
      <c r="P155" s="45" t="s">
        <v>190</v>
      </c>
      <c r="Q155" s="45" t="str">
        <f t="shared" si="29"/>
        <v>TBD</v>
      </c>
      <c r="R155" s="45">
        <f t="shared" si="30"/>
        <v>0</v>
      </c>
      <c r="S155" s="45" t="str">
        <f t="shared" ca="1" si="31"/>
        <v>No</v>
      </c>
    </row>
    <row r="156" spans="8:19" s="45" customFormat="1" hidden="1" x14ac:dyDescent="0.25">
      <c r="H156" s="46"/>
      <c r="J156" s="46"/>
      <c r="N156" s="44"/>
      <c r="O156" s="50" t="str">
        <f t="shared" ca="1" si="28"/>
        <v>N/A</v>
      </c>
      <c r="P156" s="45" t="s">
        <v>190</v>
      </c>
      <c r="Q156" s="45" t="str">
        <f t="shared" si="29"/>
        <v>TBD</v>
      </c>
      <c r="R156" s="45">
        <f t="shared" si="30"/>
        <v>0</v>
      </c>
      <c r="S156" s="45" t="str">
        <f t="shared" ca="1" si="31"/>
        <v>No</v>
      </c>
    </row>
    <row r="157" spans="8:19" s="45" customFormat="1" hidden="1" x14ac:dyDescent="0.25">
      <c r="H157" s="46"/>
      <c r="J157" s="46"/>
      <c r="N157" s="44"/>
      <c r="O157" s="50" t="str">
        <f t="shared" ca="1" si="28"/>
        <v>N/A</v>
      </c>
      <c r="P157" s="45" t="s">
        <v>190</v>
      </c>
      <c r="Q157" s="45" t="str">
        <f t="shared" si="29"/>
        <v>TBD</v>
      </c>
      <c r="R157" s="45">
        <f t="shared" si="30"/>
        <v>0</v>
      </c>
      <c r="S157" s="45" t="str">
        <f t="shared" ca="1" si="31"/>
        <v>No</v>
      </c>
    </row>
    <row r="158" spans="8:19" s="45" customFormat="1" hidden="1" x14ac:dyDescent="0.25">
      <c r="H158" s="46"/>
      <c r="J158" s="46"/>
      <c r="N158" s="44"/>
      <c r="O158" s="50" t="str">
        <f t="shared" ca="1" si="28"/>
        <v>N/A</v>
      </c>
      <c r="P158" s="45" t="s">
        <v>190</v>
      </c>
      <c r="Q158" s="45" t="str">
        <f t="shared" si="29"/>
        <v>TBD</v>
      </c>
      <c r="R158" s="45">
        <f t="shared" si="30"/>
        <v>0</v>
      </c>
      <c r="S158" s="45" t="str">
        <f t="shared" ca="1" si="31"/>
        <v>No</v>
      </c>
    </row>
    <row r="159" spans="8:19" x14ac:dyDescent="0.2"/>
    <row r="160" spans="8:19" x14ac:dyDescent="0.2"/>
    <row r="161" x14ac:dyDescent="0.2"/>
    <row r="162" x14ac:dyDescent="0.2"/>
    <row r="163" x14ac:dyDescent="0.2"/>
    <row r="164" x14ac:dyDescent="0.2"/>
    <row r="165" x14ac:dyDescent="0.2"/>
    <row r="166" x14ac:dyDescent="0.2"/>
    <row r="167" x14ac:dyDescent="0.2"/>
    <row r="168" x14ac:dyDescent="0.2"/>
    <row r="169" x14ac:dyDescent="0.2"/>
    <row r="170" x14ac:dyDescent="0.2"/>
    <row r="171" x14ac:dyDescent="0.2"/>
    <row r="172" x14ac:dyDescent="0.2"/>
    <row r="173" x14ac:dyDescent="0.2"/>
    <row r="174" x14ac:dyDescent="0.2"/>
    <row r="175" x14ac:dyDescent="0.2"/>
    <row r="176" x14ac:dyDescent="0.2"/>
    <row r="177" x14ac:dyDescent="0.2"/>
    <row r="178" x14ac:dyDescent="0.2"/>
    <row r="179" x14ac:dyDescent="0.2"/>
    <row r="180" x14ac:dyDescent="0.2"/>
    <row r="181" x14ac:dyDescent="0.2"/>
    <row r="182" x14ac:dyDescent="0.2"/>
    <row r="183" x14ac:dyDescent="0.2"/>
    <row r="184" x14ac:dyDescent="0.2"/>
    <row r="185" x14ac:dyDescent="0.2"/>
    <row r="186" x14ac:dyDescent="0.2"/>
    <row r="187" x14ac:dyDescent="0.2"/>
    <row r="188" x14ac:dyDescent="0.2"/>
    <row r="189" x14ac:dyDescent="0.2"/>
    <row r="190" x14ac:dyDescent="0.2"/>
    <row r="191" x14ac:dyDescent="0.2"/>
    <row r="192" x14ac:dyDescent="0.2"/>
    <row r="193" x14ac:dyDescent="0.2"/>
    <row r="194" x14ac:dyDescent="0.2"/>
    <row r="195" x14ac:dyDescent="0.2"/>
    <row r="196" x14ac:dyDescent="0.2"/>
    <row r="197" x14ac:dyDescent="0.2"/>
    <row r="198" x14ac:dyDescent="0.2"/>
    <row r="199" x14ac:dyDescent="0.2"/>
  </sheetData>
  <conditionalFormatting sqref="K2:K64">
    <cfRule type="containsText" dxfId="25" priority="10" operator="containsText" text="Completed">
      <formula>NOT(ISERROR(SEARCH("Completed",K2)))</formula>
    </cfRule>
    <cfRule type="containsText" dxfId="24" priority="11" operator="containsText" text="In progress">
      <formula>NOT(ISERROR(SEARCH("In progress",K2)))</formula>
    </cfRule>
    <cfRule type="containsText" dxfId="23" priority="12" operator="containsText" text="Not Started">
      <formula>NOT(ISERROR(SEARCH("Not Started",K2)))</formula>
    </cfRule>
  </conditionalFormatting>
  <conditionalFormatting sqref="O2:O52">
    <cfRule type="dataBar" priority="17">
      <dataBar>
        <cfvo type="num" val="-30"/>
        <cfvo type="num" val="180"/>
        <color rgb="FF4F81BD"/>
      </dataBar>
      <extLst>
        <ext xmlns:x14="http://schemas.microsoft.com/office/spreadsheetml/2009/9/main" uri="{B025F937-C7B1-47D3-B67F-A62EFF666E3E}">
          <x14:id>{4C6182E7-D40F-46AF-9C33-BDBE2392E590}</x14:id>
        </ext>
      </extLst>
    </cfRule>
  </conditionalFormatting>
  <conditionalFormatting sqref="P2:P52">
    <cfRule type="containsText" dxfId="22" priority="13" operator="containsText" text="OVERDUE">
      <formula>NOT(ISERROR(SEARCH("OVERDUE",P2)))</formula>
    </cfRule>
    <cfRule type="containsText" dxfId="21" priority="14" operator="containsText" text="URGENT">
      <formula>NOT(ISERROR(SEARCH("URGENT",P2)))</formula>
    </cfRule>
    <cfRule type="containsText" dxfId="20" priority="15" operator="containsText" text="SOON">
      <formula>NOT(ISERROR(SEARCH("SOON",P2)))</formula>
    </cfRule>
    <cfRule type="containsText" dxfId="19" priority="16" operator="containsText" text="ON TRACK">
      <formula>NOT(ISERROR(SEARCH("ON TRACK",P2)))</formula>
    </cfRule>
  </conditionalFormatting>
  <conditionalFormatting sqref="P60">
    <cfRule type="containsText" dxfId="18" priority="1" operator="containsText" text="OVERDUE">
      <formula>NOT(ISERROR(SEARCH("OVERDUE",P60)))</formula>
    </cfRule>
    <cfRule type="containsText" dxfId="17" priority="2" operator="containsText" text="URGENT">
      <formula>NOT(ISERROR(SEARCH("URGENT",P60)))</formula>
    </cfRule>
    <cfRule type="containsText" dxfId="16" priority="3" operator="containsText" text="SOON">
      <formula>NOT(ISERROR(SEARCH("SOON",P60)))</formula>
    </cfRule>
    <cfRule type="containsText" dxfId="15" priority="4" operator="containsText" text="ON TRACK">
      <formula>NOT(ISERROR(SEARCH("ON TRACK",P60)))</formula>
    </cfRule>
  </conditionalFormatting>
  <conditionalFormatting sqref="R2:R44">
    <cfRule type="dataBar" priority="18">
      <dataBar>
        <cfvo type="num" val="0"/>
        <cfvo type="num" val="100"/>
        <color rgb="FF00B050"/>
      </dataBar>
      <extLst>
        <ext xmlns:x14="http://schemas.microsoft.com/office/spreadsheetml/2009/9/main" uri="{B025F937-C7B1-47D3-B67F-A62EFF666E3E}">
          <x14:id>{997E76B9-B07F-4F90-9326-413C8BE38D5F}</x14:id>
        </ext>
      </extLst>
    </cfRule>
  </conditionalFormatting>
  <conditionalFormatting sqref="S2:S44">
    <cfRule type="containsText" dxfId="14" priority="9" operator="containsText" text="YES">
      <formula>NOT(ISERROR(SEARCH("YES",S2)))</formula>
    </cfRule>
  </conditionalFormatting>
  <dataValidations count="1">
    <dataValidation type="list" allowBlank="1" showInputMessage="1" showErrorMessage="1" sqref="K2:K200" xr:uid="{84630982-CAB3-4008-83D2-E0CBE7F08186}">
      <formula1>"Not Started,In progress,In Review,Completed,TBD,Assigned"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6182E7-D40F-46AF-9C33-BDBE2392E590}">
            <x14:dataBar minLength="0" maxLength="100" direction="leftToRight" axisPosition="none">
              <x14:cfvo type="num">
                <xm:f>-30</xm:f>
              </x14:cfvo>
              <x14:cfvo type="num">
                <xm:f>180</xm:f>
              </x14:cfvo>
              <x14:negativeFillColor rgb="FFFF0000"/>
            </x14:dataBar>
          </x14:cfRule>
          <xm:sqref>O2:O52</xm:sqref>
        </x14:conditionalFormatting>
        <x14:conditionalFormatting xmlns:xm="http://schemas.microsoft.com/office/excel/2006/main">
          <x14:cfRule type="dataBar" id="{997E76B9-B07F-4F90-9326-413C8BE38D5F}">
            <x14:dataBar minLength="0" maxLength="100" direction="leftToRight" negativeBarColorSameAsPositive="1" axisPosition="none">
              <x14:cfvo type="num">
                <xm:f>0</xm:f>
              </x14:cfvo>
              <x14:cfvo type="num">
                <xm:f>100</xm:f>
              </x14:cfvo>
            </x14:dataBar>
          </x14:cfRule>
          <xm:sqref>R2:R44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34BD-AE9F-4339-A4C2-5440B768F637}">
  <dimension ref="A1:N51"/>
  <sheetViews>
    <sheetView tabSelected="1" workbookViewId="0">
      <selection activeCell="F19" sqref="F19"/>
    </sheetView>
  </sheetViews>
  <sheetFormatPr defaultRowHeight="15.75" x14ac:dyDescent="0.25"/>
  <cols>
    <col min="1" max="1" width="16.625" customWidth="1"/>
    <col min="2" max="2" width="10" customWidth="1"/>
    <col min="3" max="3" width="11.625" customWidth="1"/>
    <col min="4" max="4" width="2.5" customWidth="1"/>
    <col min="5" max="5" width="16.625" customWidth="1"/>
    <col min="6" max="7" width="11.625" customWidth="1"/>
    <col min="8" max="8" width="2.5" customWidth="1"/>
    <col min="9" max="9" width="21.625" customWidth="1"/>
    <col min="10" max="10" width="10" customWidth="1"/>
    <col min="11" max="11" width="11.625" customWidth="1"/>
    <col min="12" max="12" width="10" customWidth="1"/>
  </cols>
  <sheetData>
    <row r="1" spans="1:14" ht="35.1" customHeight="1" x14ac:dyDescent="0.35">
      <c r="A1" s="162" t="s">
        <v>482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3" spans="1:14" x14ac:dyDescent="0.25">
      <c r="A3" s="151" t="s">
        <v>449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</row>
    <row r="4" spans="1:14" x14ac:dyDescent="0.25">
      <c r="A4" s="163" t="s">
        <v>484</v>
      </c>
      <c r="B4" s="163"/>
      <c r="C4" s="163" t="s">
        <v>41</v>
      </c>
      <c r="D4" s="163"/>
      <c r="E4" s="163" t="s">
        <v>417</v>
      </c>
      <c r="F4" s="163"/>
      <c r="G4" s="163" t="s">
        <v>248</v>
      </c>
      <c r="H4" s="163"/>
      <c r="I4" s="163" t="s">
        <v>25</v>
      </c>
      <c r="J4" s="163"/>
      <c r="K4" s="163" t="s">
        <v>418</v>
      </c>
      <c r="L4" s="163"/>
      <c r="M4" s="163" t="s">
        <v>451</v>
      </c>
      <c r="N4" s="163"/>
    </row>
    <row r="5" spans="1:14" ht="35.1" customHeight="1" x14ac:dyDescent="0.4">
      <c r="A5" s="156" cm="1">
        <f t="array" ref="A5">SUMPRODUCT(('BSI PSURs'!A2:A45&lt;&gt;"")*('BSI PSURs'!A2:A45&lt;&gt;"TBD")*(1/COUNTIF('BSI PSURs'!A2:A45,'BSI PSURs'!A2:A45&amp;"")))</f>
        <v>23</v>
      </c>
      <c r="B5" s="156"/>
      <c r="C5" s="157" cm="1">
        <f t="array" ref="C5">SUMPRODUCT(('BSI PSURs'!A2:A45&lt;&gt;"")*('BSI PSURs'!A2:A45&lt;&gt;"TBD")*('BSI PSURs'!K2:K45="Completed")*(1/COUNTIF('BSI PSURs'!A2:A45,'BSI PSURs'!A2:A45&amp;"")))</f>
        <v>7</v>
      </c>
      <c r="D5" s="157"/>
      <c r="E5" s="158" cm="1">
        <f t="array" ref="E5">SUMPRODUCT(('BSI PSURs'!A2:A45&lt;&gt;"")*('BSI PSURs'!A2:A45&lt;&gt;"TBD")*('BSI PSURs'!K2:K45="In progress")*(1/COUNTIF('BSI PSURs'!A2:A45,'BSI PSURs'!A2:A45&amp;"")))</f>
        <v>1</v>
      </c>
      <c r="F5" s="158"/>
      <c r="G5" s="159" cm="1">
        <f t="array" ref="G5">SUMPRODUCT(('BSI PSURs'!A2:A45&lt;&gt;"")*('BSI PSURs'!A2:A45&lt;&gt;"TBD")*('BSI PSURs'!K2:K45="In Review")*(1/COUNTIF('BSI PSURs'!A2:A45,'BSI PSURs'!A2:A45&amp;"")))</f>
        <v>3</v>
      </c>
      <c r="H5" s="159"/>
      <c r="I5" s="160" cm="1">
        <f t="array" ref="I5">SUMPRODUCT(('BSI PSURs'!A2:A45&lt;&gt;"")*('BSI PSURs'!A2:A45&lt;&gt;"TBD")*('BSI PSURs'!K2:K45="Not Started")*(1/COUNTIF('BSI PSURs'!A2:A45,'BSI PSURs'!A2:A45&amp;"")))</f>
        <v>11</v>
      </c>
      <c r="J5" s="160"/>
      <c r="K5" s="161" cm="1">
        <f t="array" aca="1" ref="K5" ca="1">SUMPRODUCT(('BSI PSURs'!A2:A45&lt;&gt;"")*('BSI PSURs'!A2:A45&lt;&gt;"TBD")*('BSI PSURs'!S2:S45="⚠️ YES")*(1/COUNTIF('BSI PSURs'!A2:A45,'BSI PSURs'!A2:A45&amp;"")))</f>
        <v>0</v>
      </c>
      <c r="L5" s="161"/>
      <c r="M5" s="153">
        <f>IFERROR(C5/A5,0)</f>
        <v>0.30434782608695654</v>
      </c>
      <c r="N5" s="154"/>
    </row>
    <row r="7" spans="1:14" x14ac:dyDescent="0.25">
      <c r="A7" s="151" t="s">
        <v>452</v>
      </c>
      <c r="B7" s="155"/>
      <c r="C7" s="155"/>
      <c r="E7" s="151" t="s">
        <v>453</v>
      </c>
      <c r="F7" s="155"/>
      <c r="G7" s="155"/>
      <c r="I7" s="151" t="s">
        <v>454</v>
      </c>
      <c r="J7" s="155"/>
      <c r="K7" s="155"/>
      <c r="L7" s="155"/>
    </row>
    <row r="8" spans="1:14" x14ac:dyDescent="0.25">
      <c r="A8" s="146" t="s">
        <v>10</v>
      </c>
      <c r="B8" s="146" t="s">
        <v>455</v>
      </c>
      <c r="C8" s="146" t="s">
        <v>456</v>
      </c>
      <c r="E8" s="146" t="s">
        <v>233</v>
      </c>
      <c r="F8" s="146" t="s">
        <v>257</v>
      </c>
      <c r="G8" s="146" t="s">
        <v>41</v>
      </c>
      <c r="I8" s="146" t="s">
        <v>15</v>
      </c>
      <c r="J8" s="146" t="s">
        <v>457</v>
      </c>
      <c r="K8" s="146" t="s">
        <v>41</v>
      </c>
      <c r="L8" s="146" t="s">
        <v>458</v>
      </c>
    </row>
    <row r="9" spans="1:14" x14ac:dyDescent="0.25">
      <c r="A9" t="s">
        <v>41</v>
      </c>
      <c r="B9">
        <f>C5</f>
        <v>7</v>
      </c>
      <c r="C9" s="147">
        <f>IFERROR(B9/$A$5,0)</f>
        <v>0.30434782608695654</v>
      </c>
      <c r="E9" t="s">
        <v>258</v>
      </c>
      <c r="F9">
        <v>9</v>
      </c>
      <c r="G9">
        <v>5</v>
      </c>
      <c r="I9" t="s">
        <v>44</v>
      </c>
      <c r="J9">
        <v>9</v>
      </c>
      <c r="K9">
        <v>8</v>
      </c>
      <c r="L9" s="147">
        <f>K9/J9</f>
        <v>0.88888888888888884</v>
      </c>
    </row>
    <row r="10" spans="1:14" x14ac:dyDescent="0.25">
      <c r="A10" t="s">
        <v>55</v>
      </c>
      <c r="B10">
        <f>E5</f>
        <v>1</v>
      </c>
      <c r="C10" s="147">
        <f>IFERROR(B10/$A$5,0)</f>
        <v>4.3478260869565216E-2</v>
      </c>
      <c r="E10" t="s">
        <v>262</v>
      </c>
      <c r="F10">
        <v>3</v>
      </c>
      <c r="G10">
        <v>2</v>
      </c>
      <c r="I10" t="s">
        <v>36</v>
      </c>
      <c r="J10">
        <v>11</v>
      </c>
      <c r="K10">
        <v>0</v>
      </c>
      <c r="L10" s="147">
        <f>K10/J10</f>
        <v>0</v>
      </c>
    </row>
    <row r="11" spans="1:14" x14ac:dyDescent="0.25">
      <c r="A11" t="s">
        <v>248</v>
      </c>
      <c r="B11">
        <f>G5</f>
        <v>3</v>
      </c>
      <c r="C11" s="147">
        <f>IFERROR(B11/$A$5,0)</f>
        <v>0.13043478260869565</v>
      </c>
      <c r="E11" t="s">
        <v>313</v>
      </c>
      <c r="F11">
        <v>7</v>
      </c>
      <c r="G11">
        <v>1</v>
      </c>
      <c r="I11" t="s">
        <v>459</v>
      </c>
      <c r="J11">
        <v>4</v>
      </c>
      <c r="K11">
        <v>0</v>
      </c>
      <c r="L11" s="147">
        <f>IF(J11=0,0,K11/J11)</f>
        <v>0</v>
      </c>
    </row>
    <row r="12" spans="1:14" x14ac:dyDescent="0.25">
      <c r="A12" t="s">
        <v>257</v>
      </c>
      <c r="B12" cm="1">
        <f t="array" ref="B12">SUMPRODUCT(('BSI PSURs'!A2:A45&lt;&gt;"")*('BSI PSURs'!A2:A45&lt;&gt;"TBD")*('BSI PSURs'!K2:K45="Assigned")*(1/COUNTIF('BSI PSURs'!A2:A45,'BSI PSURs'!A2:A45&amp;"")))</f>
        <v>0</v>
      </c>
      <c r="C12" s="147">
        <f>IFERROR(B12/$A$5,0)</f>
        <v>0</v>
      </c>
      <c r="E12" t="s">
        <v>242</v>
      </c>
      <c r="F12">
        <v>2</v>
      </c>
      <c r="G12">
        <v>0</v>
      </c>
      <c r="I12" s="148" t="s">
        <v>423</v>
      </c>
      <c r="J12" s="148">
        <f>SUM(J9:J11)</f>
        <v>24</v>
      </c>
      <c r="K12" s="148">
        <f>SUM(K9:K11)</f>
        <v>8</v>
      </c>
      <c r="L12" s="149">
        <f>K12/J12</f>
        <v>0.33333333333333331</v>
      </c>
    </row>
    <row r="13" spans="1:14" x14ac:dyDescent="0.25">
      <c r="A13" t="s">
        <v>25</v>
      </c>
      <c r="B13">
        <f>I5</f>
        <v>11</v>
      </c>
      <c r="C13" s="147">
        <f>IFERROR(B13/$A$5,0)</f>
        <v>0.47826086956521741</v>
      </c>
      <c r="E13" s="148" t="s">
        <v>423</v>
      </c>
      <c r="F13" s="148">
        <f>SUM(F9:F12)</f>
        <v>21</v>
      </c>
      <c r="G13" s="148">
        <f>SUM(G9:G12)</f>
        <v>8</v>
      </c>
    </row>
    <row r="14" spans="1:14" x14ac:dyDescent="0.25">
      <c r="A14" t="s">
        <v>80</v>
      </c>
      <c r="B14" cm="1">
        <f t="array" ref="B14">SUMPRODUCT(('BSI PSURs'!A2:A45&lt;&gt;"")*('BSI PSURs'!A2:A45&lt;&gt;"TBD")*('BSI PSURs'!K2:K45="TBD")*(1/COUNTIF('BSI PSURs'!A2:A45,'BSI PSURs'!A2:A45&amp;"")))</f>
        <v>1</v>
      </c>
      <c r="C14" s="147">
        <f>IFERROR(B14/$A$5,0)</f>
        <v>4.3478260869565216E-2</v>
      </c>
    </row>
    <row r="16" spans="1:14" x14ac:dyDescent="0.25">
      <c r="A16" s="151" t="s">
        <v>460</v>
      </c>
      <c r="B16" s="155"/>
      <c r="C16" s="155"/>
      <c r="E16" s="151" t="s">
        <v>461</v>
      </c>
      <c r="F16" s="155"/>
      <c r="G16" s="155"/>
      <c r="I16" s="151" t="s">
        <v>462</v>
      </c>
      <c r="J16" s="155"/>
      <c r="K16" s="155"/>
      <c r="L16" s="155"/>
    </row>
    <row r="17" spans="1:12" x14ac:dyDescent="0.25">
      <c r="A17" s="146" t="s">
        <v>4</v>
      </c>
      <c r="B17" s="146" t="s">
        <v>455</v>
      </c>
      <c r="C17" s="146" t="s">
        <v>456</v>
      </c>
      <c r="E17" s="146" t="s">
        <v>14</v>
      </c>
      <c r="F17" s="146" t="s">
        <v>455</v>
      </c>
      <c r="G17" s="146" t="s">
        <v>456</v>
      </c>
      <c r="I17" s="146" t="s">
        <v>463</v>
      </c>
      <c r="J17" s="146" t="s">
        <v>455</v>
      </c>
    </row>
    <row r="18" spans="1:12" x14ac:dyDescent="0.25">
      <c r="A18" t="s">
        <v>464</v>
      </c>
      <c r="B18">
        <f>COUNTIF('BSI PSURs'!E:E,"III")</f>
        <v>23</v>
      </c>
      <c r="C18" s="147">
        <f>IF($A$5&gt;0,B18/$A$5,0)</f>
        <v>1</v>
      </c>
      <c r="E18" t="s">
        <v>115</v>
      </c>
      <c r="F18">
        <f ca="1">I46</f>
        <v>0</v>
      </c>
      <c r="G18" s="147">
        <f ca="1">IFERROR(F18/$A$5,0)</f>
        <v>0</v>
      </c>
      <c r="I18" t="s">
        <v>465</v>
      </c>
      <c r="J18">
        <f ca="1">COUNTIFS('BSI PSURs'!O:O,"&gt;0",'BSI PSURs'!O:O,"&lt;=7")</f>
        <v>2</v>
      </c>
    </row>
    <row r="19" spans="1:12" x14ac:dyDescent="0.25">
      <c r="A19" t="s">
        <v>466</v>
      </c>
      <c r="B19">
        <f>COUNTIF('BSI PSURs'!E:E,"IIb")</f>
        <v>0</v>
      </c>
      <c r="C19" s="147">
        <f>IF($A$5&gt;0,B19/$A$5,0)</f>
        <v>0</v>
      </c>
      <c r="E19" t="s">
        <v>50</v>
      </c>
      <c r="F19">
        <f ca="1">I47</f>
        <v>6</v>
      </c>
      <c r="G19" s="147">
        <f ca="1">IFERROR(F19/$A$5,0)</f>
        <v>0.2608695652173913</v>
      </c>
      <c r="I19" t="s">
        <v>467</v>
      </c>
      <c r="J19">
        <f ca="1">COUNTIFS('BSI PSURs'!O:O,"&gt;0",'BSI PSURs'!O:O,"&lt;=14")</f>
        <v>3</v>
      </c>
    </row>
    <row r="20" spans="1:12" x14ac:dyDescent="0.25">
      <c r="A20" t="s">
        <v>468</v>
      </c>
      <c r="B20">
        <f>COUNTIF('BSI PSURs'!E:E,"IIa")</f>
        <v>1</v>
      </c>
      <c r="C20" s="147">
        <f>IF($A$5&gt;0,B20/$A$5,0)</f>
        <v>4.3478260869565216E-2</v>
      </c>
      <c r="E20" t="s">
        <v>35</v>
      </c>
      <c r="F20">
        <f ca="1">I48</f>
        <v>3</v>
      </c>
      <c r="G20" s="147">
        <f ca="1">IFERROR(F20/$A$5,0)</f>
        <v>0.13043478260869565</v>
      </c>
      <c r="I20" t="s">
        <v>469</v>
      </c>
      <c r="J20">
        <f ca="1">COUNTIFS('BSI PSURs'!O:O,"&gt;0",'BSI PSURs'!O:O,"&lt;=30")</f>
        <v>6</v>
      </c>
    </row>
    <row r="21" spans="1:12" x14ac:dyDescent="0.25">
      <c r="A21" t="s">
        <v>470</v>
      </c>
      <c r="B21">
        <f>COUNTIFS('BSI PSURs'!E:E,"I")+COUNTIFS('BSI PSURs'!E:E,"Is")</f>
        <v>0</v>
      </c>
      <c r="C21" s="147">
        <f>IF($A$5&gt;0,B21/$A$5,0)</f>
        <v>0</v>
      </c>
      <c r="E21" t="s">
        <v>28</v>
      </c>
      <c r="F21">
        <f ca="1">I49</f>
        <v>7</v>
      </c>
      <c r="G21" s="147">
        <f ca="1">IFERROR(F21/$A$5,0)</f>
        <v>0.30434782608695654</v>
      </c>
      <c r="I21" t="s">
        <v>471</v>
      </c>
      <c r="J21">
        <f ca="1">COUNTIF('BSI PSURs'!S:S,"⚠️ YES")</f>
        <v>0</v>
      </c>
    </row>
    <row r="22" spans="1:12" x14ac:dyDescent="0.25">
      <c r="E22" t="s">
        <v>43</v>
      </c>
      <c r="F22">
        <f ca="1">I50</f>
        <v>7</v>
      </c>
      <c r="G22" s="147">
        <f ca="1">IFERROR(F22/$A$5,0)</f>
        <v>0.30434782608695654</v>
      </c>
      <c r="I22" t="s">
        <v>472</v>
      </c>
      <c r="J22" s="150">
        <f ca="1">IFERROR(AVERAGEIF('BSI PSURs'!O:O,"&gt;0"),0)</f>
        <v>62.625</v>
      </c>
    </row>
    <row r="23" spans="1:12" x14ac:dyDescent="0.25">
      <c r="E23" t="s">
        <v>190</v>
      </c>
      <c r="F23">
        <f ca="1">I51</f>
        <v>0</v>
      </c>
      <c r="G23" s="147">
        <f ca="1">IFERROR(F23/$A$5,0)</f>
        <v>0</v>
      </c>
    </row>
    <row r="24" spans="1:12" x14ac:dyDescent="0.25">
      <c r="A24" s="151" t="s">
        <v>473</v>
      </c>
      <c r="B24" s="151"/>
      <c r="C24" s="151"/>
      <c r="E24" s="151" t="s">
        <v>474</v>
      </c>
      <c r="F24" s="151"/>
      <c r="G24" s="151"/>
      <c r="I24" s="151" t="s">
        <v>475</v>
      </c>
      <c r="J24" s="151"/>
      <c r="K24" s="151"/>
      <c r="L24" s="151"/>
    </row>
    <row r="40" spans="1:12" x14ac:dyDescent="0.25">
      <c r="A40" s="152" t="s">
        <v>483</v>
      </c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</row>
    <row r="45" spans="1:12" x14ac:dyDescent="0.25">
      <c r="A45" t="s">
        <v>10</v>
      </c>
      <c r="B45" t="s">
        <v>455</v>
      </c>
      <c r="D45" t="s">
        <v>233</v>
      </c>
      <c r="E45" t="s">
        <v>257</v>
      </c>
      <c r="F45" t="s">
        <v>41</v>
      </c>
      <c r="H45" t="s">
        <v>14</v>
      </c>
      <c r="I45" t="s">
        <v>455</v>
      </c>
    </row>
    <row r="46" spans="1:12" x14ac:dyDescent="0.25">
      <c r="A46" t="s">
        <v>41</v>
      </c>
      <c r="B46">
        <f>B9</f>
        <v>7</v>
      </c>
      <c r="D46" t="s">
        <v>258</v>
      </c>
      <c r="E46">
        <v>9</v>
      </c>
      <c r="F46">
        <v>5</v>
      </c>
      <c r="H46" t="s">
        <v>476</v>
      </c>
      <c r="I46" cm="1">
        <f t="array" aca="1" ref="I46" ca="1">SUMPRODUCT(('BSI PSURs'!A2:A45&lt;&gt;"")*('BSI PSURs'!A2:A45&lt;&gt;"TBD")*(ISNUMBER(SEARCH("OVERDUE",'BSI PSURs'!P2:P45)))*(1/COUNTIF('BSI PSURs'!A2:A45,'BSI PSURs'!A2:A45&amp;"")))</f>
        <v>0</v>
      </c>
    </row>
    <row r="47" spans="1:12" x14ac:dyDescent="0.25">
      <c r="A47" t="s">
        <v>417</v>
      </c>
      <c r="B47">
        <f>B10</f>
        <v>1</v>
      </c>
      <c r="D47" t="s">
        <v>262</v>
      </c>
      <c r="E47">
        <v>3</v>
      </c>
      <c r="F47">
        <v>2</v>
      </c>
      <c r="H47" t="s">
        <v>477</v>
      </c>
      <c r="I47" cm="1">
        <f t="array" aca="1" ref="I47" ca="1">SUMPRODUCT(('BSI PSURs'!A2:A45&lt;&gt;"")*('BSI PSURs'!A2:A45&lt;&gt;"TBD")*(ISNUMBER(SEARCH("URGENT",'BSI PSURs'!P2:P45)))*(1/COUNTIF('BSI PSURs'!A2:A45,'BSI PSURs'!A2:A45&amp;"")))</f>
        <v>6</v>
      </c>
    </row>
    <row r="48" spans="1:12" x14ac:dyDescent="0.25">
      <c r="A48" t="s">
        <v>248</v>
      </c>
      <c r="B48">
        <f>B11</f>
        <v>3</v>
      </c>
      <c r="D48" t="s">
        <v>313</v>
      </c>
      <c r="E48">
        <v>7</v>
      </c>
      <c r="F48">
        <v>1</v>
      </c>
      <c r="H48" t="s">
        <v>478</v>
      </c>
      <c r="I48" cm="1">
        <f t="array" aca="1" ref="I48" ca="1">SUMPRODUCT(('BSI PSURs'!A2:A45&lt;&gt;"")*('BSI PSURs'!A2:A45&lt;&gt;"TBD")*(ISNUMBER(SEARCH("SOON",'BSI PSURs'!P2:P45)))*(1/COUNTIF('BSI PSURs'!A2:A45,'BSI PSURs'!A2:A45&amp;"")))</f>
        <v>3</v>
      </c>
    </row>
    <row r="49" spans="1:9" x14ac:dyDescent="0.25">
      <c r="A49" t="s">
        <v>25</v>
      </c>
      <c r="B49">
        <f>B13</f>
        <v>11</v>
      </c>
      <c r="D49" t="s">
        <v>242</v>
      </c>
      <c r="E49">
        <v>2</v>
      </c>
      <c r="F49">
        <v>0</v>
      </c>
      <c r="H49" t="s">
        <v>479</v>
      </c>
      <c r="I49" cm="1">
        <f t="array" aca="1" ref="I49" ca="1">SUMPRODUCT(('BSI PSURs'!A2:A45&lt;&gt;"")*('BSI PSURs'!A2:A45&lt;&gt;"TBD")*(ISNUMBER(SEARCH("ON TRACK",'BSI PSURs'!P2:P45)))*(1/COUNTIF('BSI PSURs'!A2:A45,'BSI PSURs'!A2:A45&amp;"")))</f>
        <v>7</v>
      </c>
    </row>
    <row r="50" spans="1:9" x14ac:dyDescent="0.25">
      <c r="A50" t="s">
        <v>80</v>
      </c>
      <c r="B50">
        <f>B14</f>
        <v>1</v>
      </c>
      <c r="H50" t="s">
        <v>480</v>
      </c>
      <c r="I50" cm="1">
        <f t="array" aca="1" ref="I50" ca="1">SUMPRODUCT(('BSI PSURs'!A2:A45&lt;&gt;"")*('BSI PSURs'!A2:A45&lt;&gt;"TBD")*(ISNUMBER(SEARCH("DONE",'BSI PSURs'!P2:P45)))*(1/COUNTIF('BSI PSURs'!A2:A45,'BSI PSURs'!A2:A45&amp;"")))</f>
        <v>7</v>
      </c>
    </row>
    <row r="51" spans="1:9" x14ac:dyDescent="0.25">
      <c r="H51" t="s">
        <v>80</v>
      </c>
      <c r="I51" cm="1">
        <f t="array" aca="1" ref="I51" ca="1">SUMPRODUCT(('BSI PSURs'!A2:A45&lt;&gt;"")*('BSI PSURs'!A2:A45&lt;&gt;"TBD")*('BSI PSURs'!P2:P45="⚪ TBD")*(1/COUNTIF('BSI PSURs'!A2:A45,'BSI PSURs'!A2:A45&amp;"")))</f>
        <v>0</v>
      </c>
    </row>
  </sheetData>
  <mergeCells count="26">
    <mergeCell ref="K5:L5"/>
    <mergeCell ref="A1:N1"/>
    <mergeCell ref="A3:N3"/>
    <mergeCell ref="A4:B4"/>
    <mergeCell ref="C4:D4"/>
    <mergeCell ref="E4:F4"/>
    <mergeCell ref="G4:H4"/>
    <mergeCell ref="I4:J4"/>
    <mergeCell ref="K4:L4"/>
    <mergeCell ref="M4:N4"/>
    <mergeCell ref="A24:C24"/>
    <mergeCell ref="E24:G24"/>
    <mergeCell ref="I24:L24"/>
    <mergeCell ref="A40:L40"/>
    <mergeCell ref="M5:N5"/>
    <mergeCell ref="A7:C7"/>
    <mergeCell ref="E7:G7"/>
    <mergeCell ref="I7:L7"/>
    <mergeCell ref="A16:C16"/>
    <mergeCell ref="E16:G16"/>
    <mergeCell ref="I16:L16"/>
    <mergeCell ref="A5:B5"/>
    <mergeCell ref="C5:D5"/>
    <mergeCell ref="E5:F5"/>
    <mergeCell ref="G5:H5"/>
    <mergeCell ref="I5:J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8E9ED-19CA-4E03-AAEE-FE5DFC22210D}">
  <dimension ref="A1:K88"/>
  <sheetViews>
    <sheetView workbookViewId="0">
      <pane ySplit="3" topLeftCell="A51" activePane="bottomLeft" state="frozen"/>
      <selection pane="bottomLeft" activeCell="G56" sqref="G56"/>
    </sheetView>
  </sheetViews>
  <sheetFormatPr defaultRowHeight="15.75" x14ac:dyDescent="0.25"/>
  <cols>
    <col min="1" max="1" width="13.375" customWidth="1"/>
    <col min="2" max="2" width="15" customWidth="1"/>
    <col min="3" max="3" width="41.625" customWidth="1"/>
    <col min="4" max="10" width="14.125" customWidth="1"/>
    <col min="11" max="11" width="33.375" customWidth="1"/>
  </cols>
  <sheetData>
    <row r="1" spans="1:11" ht="39.950000000000003" customHeight="1" x14ac:dyDescent="0.4">
      <c r="A1" s="164" t="s">
        <v>415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</row>
    <row r="3" spans="1:11" x14ac:dyDescent="0.25">
      <c r="A3" s="11" t="s">
        <v>233</v>
      </c>
      <c r="B3" s="11" t="s">
        <v>416</v>
      </c>
      <c r="C3" s="11" t="s">
        <v>41</v>
      </c>
      <c r="D3" s="11" t="s">
        <v>417</v>
      </c>
      <c r="E3" s="11" t="s">
        <v>25</v>
      </c>
      <c r="F3" s="11" t="s">
        <v>80</v>
      </c>
      <c r="G3" s="11" t="s">
        <v>418</v>
      </c>
      <c r="H3" s="11" t="s">
        <v>419</v>
      </c>
      <c r="I3" s="11" t="s">
        <v>420</v>
      </c>
      <c r="J3" s="11" t="s">
        <v>421</v>
      </c>
      <c r="K3" s="11" t="s">
        <v>422</v>
      </c>
    </row>
    <row r="4" spans="1:11" x14ac:dyDescent="0.25">
      <c r="A4" s="12" t="s">
        <v>258</v>
      </c>
      <c r="B4" s="13">
        <f>COUNTIF('Maintenance PSURs'!L2:L52,"Harish")</f>
        <v>3</v>
      </c>
      <c r="C4" s="14">
        <f>COUNTIFS('Maintenance PSURs'!L2:L52,"Harish",'Maintenance PSURs'!K2:K52,"Completed")</f>
        <v>0</v>
      </c>
      <c r="D4" s="15">
        <f>COUNTIFS('Maintenance PSURs'!L2:L52,"Harish",'Maintenance PSURs'!K2:K52,"In progress")</f>
        <v>1</v>
      </c>
      <c r="E4" s="16">
        <f>COUNTIFS('Maintenance PSURs'!L2:L52,"Harish",'Maintenance PSURs'!K2:K52,"Not Started")</f>
        <v>1</v>
      </c>
      <c r="F4" s="17">
        <f>COUNTIFS('Maintenance PSURs'!L2:L52,"Harish",'Maintenance PSURs'!K2:K52,"TBD")</f>
        <v>0</v>
      </c>
      <c r="G4" s="18">
        <f ca="1">COUNTIFS('Maintenance PSURs'!L2:L52,"Harish",'Maintenance PSURs'!S2:S52,"*YES*")</f>
        <v>1</v>
      </c>
      <c r="H4" s="19">
        <f>IFERROR(C4/B4,0)</f>
        <v>0</v>
      </c>
      <c r="I4" s="17">
        <f ca="1">IFERROR(ROUND(AVERAGEIFS('Maintenance PSURs'!O2:O52,'Maintenance PSURs'!L2:L52,"Harish",'Maintenance PSURs'!K2:K52,"&lt;&gt;Completed"),0),"N/A")</f>
        <v>40</v>
      </c>
      <c r="J4" s="20">
        <f>IFERROR(_xlfn.MINIFS('Maintenance PSURs'!J2:J52,'Maintenance PSURs'!L2:L52,"Harish",'Maintenance PSURs'!K2:K52,"&lt;&gt;Completed",'Maintenance PSURs'!J2:J52,"&gt;0"),"N/A")</f>
        <v>46112</v>
      </c>
      <c r="K4" s="17" t="str">
        <f ca="1">IF(G4&gt;2,"🔴 HIGH",IF(G4&gt;0,"🟠 MEDIUM","🟢 LOW"))</f>
        <v>🟠 MEDIUM</v>
      </c>
    </row>
    <row r="5" spans="1:11" x14ac:dyDescent="0.25">
      <c r="A5" s="23" t="s">
        <v>262</v>
      </c>
      <c r="B5" s="24">
        <f>COUNTIF('Maintenance PSURs'!L2:L52,"Jeff")</f>
        <v>10</v>
      </c>
      <c r="C5" s="24">
        <f>COUNTIFS('Maintenance PSURs'!L2:L52,"Jeff",'Maintenance PSURs'!K2:K52,"Completed")</f>
        <v>0</v>
      </c>
      <c r="D5" s="24">
        <f>COUNTIFS('Maintenance PSURs'!L2:L52,"Jeff",'Maintenance PSURs'!K2:K52,"In progress")</f>
        <v>2</v>
      </c>
      <c r="E5" s="24">
        <f>COUNTIFS('Maintenance PSURs'!L2:L52,"Jeff",'Maintenance PSURs'!K2:K52,"Not Started")</f>
        <v>7</v>
      </c>
      <c r="F5" s="24">
        <f>COUNTIFS('Maintenance PSURs'!L2:L52,"Jeff",'Maintenance PSURs'!K2:K52,"TBD")</f>
        <v>0</v>
      </c>
      <c r="G5" s="24">
        <f ca="1">COUNTIFS('Maintenance PSURs'!L2:L52,"Jeff",'Maintenance PSURs'!S2:S52,"*YES*")</f>
        <v>3</v>
      </c>
      <c r="H5" s="25">
        <f>IFERROR(C5/B5,0)</f>
        <v>0</v>
      </c>
      <c r="I5" s="24">
        <f ca="1">IFERROR(ROUND(AVERAGEIFS('Maintenance PSURs'!O2:O52,'Maintenance PSURs'!L2:L52,"Jeff",'Maintenance PSURs'!K2:K52,"&lt;&gt;Completed"),0),"N/A")</f>
        <v>21</v>
      </c>
      <c r="J5" s="26">
        <f>IFERROR(_xlfn.MINIFS('Maintenance PSURs'!J2:J52,'Maintenance PSURs'!L2:L52,"Jeff",'Maintenance PSURs'!K2:K52,"&lt;&gt;Completed",'Maintenance PSURs'!J2:J52,"&gt;0"),"N/A")</f>
        <v>46080</v>
      </c>
      <c r="K5" s="24" t="str">
        <f ca="1">IF(G5&gt;2,"🔴 HIGH",IF(G5&gt;0,"🟠 MEDIUM","🟢 LOW"))</f>
        <v>🔴 HIGH</v>
      </c>
    </row>
    <row r="6" spans="1:11" x14ac:dyDescent="0.25">
      <c r="A6" s="12" t="s">
        <v>313</v>
      </c>
      <c r="B6" s="13">
        <f>COUNTIF('Maintenance PSURs'!L2:L52,"Venkata")</f>
        <v>7</v>
      </c>
      <c r="C6" s="13">
        <f>COUNTIFS('Maintenance PSURs'!L2:L52,"Venkata",'Maintenance PSURs'!K2:K52,"Completed")</f>
        <v>1</v>
      </c>
      <c r="D6" s="13">
        <f>COUNTIFS('Maintenance PSURs'!L2:L52,"Venkata",'Maintenance PSURs'!K2:K52,"In progress")</f>
        <v>2</v>
      </c>
      <c r="E6" s="13">
        <f>COUNTIFS('Maintenance PSURs'!L2:L52,"Venkata",'Maintenance PSURs'!K2:K52,"Not Started")</f>
        <v>4</v>
      </c>
      <c r="F6" s="13">
        <f>COUNTIFS('Maintenance PSURs'!L2:L52,"Venkata",'Maintenance PSURs'!K2:K52,"TBD")</f>
        <v>0</v>
      </c>
      <c r="G6" s="13">
        <f ca="1">COUNTIFS('Maintenance PSURs'!L2:L52,"Venkata",'Maintenance PSURs'!S2:S52,"*YES*")</f>
        <v>3</v>
      </c>
      <c r="H6" s="27">
        <f>IFERROR(C6/B6,0)</f>
        <v>0.14285714285714285</v>
      </c>
      <c r="I6" s="13">
        <f ca="1">IFERROR(ROUND(AVERAGEIFS('Maintenance PSURs'!O2:O52,'Maintenance PSURs'!L2:L52,"Venkata",'Maintenance PSURs'!K2:K52,"&lt;&gt;Completed"),0),"N/A")</f>
        <v>0</v>
      </c>
      <c r="J6" s="28">
        <f>IFERROR(_xlfn.MINIFS('Maintenance PSURs'!J2:J52,'Maintenance PSURs'!L2:L52,"Venkata",'Maintenance PSURs'!K2:K52,"&lt;&gt;Completed",'Maintenance PSURs'!J2:J52,"&gt;0"),"N/A")</f>
        <v>46073</v>
      </c>
      <c r="K6" s="13" t="str">
        <f ca="1">IF(G6&gt;2,"🔴 HIGH",IF(G6&gt;0,"🟠 MEDIUM","🟢 LOW"))</f>
        <v>🔴 HIGH</v>
      </c>
    </row>
    <row r="7" spans="1:11" x14ac:dyDescent="0.25">
      <c r="A7" s="23" t="s">
        <v>242</v>
      </c>
      <c r="B7" s="24">
        <f>COUNTIF('Maintenance PSURs'!L2:L52,"Terence*")</f>
        <v>12</v>
      </c>
      <c r="C7" s="24">
        <f>COUNTIFS('Maintenance PSURs'!L2:L52,"Terence*",'Maintenance PSURs'!K2:K52,"Completed")</f>
        <v>2</v>
      </c>
      <c r="D7" s="24">
        <f>COUNTIFS('Maintenance PSURs'!L2:L52,"Terence*",'Maintenance PSURs'!K2:K52,"In progress")</f>
        <v>5</v>
      </c>
      <c r="E7" s="24">
        <f>COUNTIFS('Maintenance PSURs'!L2:L52,"Terence*",'Maintenance PSURs'!K2:K52,"Not Started")</f>
        <v>1</v>
      </c>
      <c r="F7" s="24">
        <f>COUNTIFS('Maintenance PSURs'!L2:L52,"Terence*",'Maintenance PSURs'!K2:K52,"TBD")</f>
        <v>0</v>
      </c>
      <c r="G7" s="24">
        <f ca="1">COUNTIFS('Maintenance PSURs'!L2:L52,"Terence*",'Maintenance PSURs'!S2:S52,"*YES*")</f>
        <v>4</v>
      </c>
      <c r="H7" s="25">
        <f>IFERROR(C7/B7,0)</f>
        <v>0.16666666666666666</v>
      </c>
      <c r="I7" s="24">
        <f ca="1">IFERROR(ROUND(AVERAGEIFS('Maintenance PSURs'!O2:O52,'Maintenance PSURs'!L2:L52,"Terence*",'Maintenance PSURs'!K2:K52,"&lt;&gt;Completed"),0),"N/A")</f>
        <v>-23</v>
      </c>
      <c r="J7" s="26">
        <f>IFERROR(_xlfn.MINIFS('Maintenance PSURs'!J2:J52,'Maintenance PSURs'!L2:L52,"Terence*",'Maintenance PSURs'!K2:K52,"&lt;&gt;Completed",'Maintenance PSURs'!J2:J52,"&gt;0"),"N/A")</f>
        <v>46080</v>
      </c>
      <c r="K7" s="24" t="str">
        <f ca="1">IF(G7&gt;2,"🔴 HIGH",IF(G7&gt;0,"🟠 MEDIUM","🟢 LOW"))</f>
        <v>🔴 HIGH</v>
      </c>
    </row>
    <row r="8" spans="1:11" x14ac:dyDescent="0.25">
      <c r="A8" s="21" t="s">
        <v>423</v>
      </c>
      <c r="B8" s="21">
        <f t="shared" ref="B8:G8" si="0">SUM(B4:B7)</f>
        <v>32</v>
      </c>
      <c r="C8" s="21">
        <f t="shared" si="0"/>
        <v>3</v>
      </c>
      <c r="D8" s="21">
        <f t="shared" si="0"/>
        <v>10</v>
      </c>
      <c r="E8" s="21">
        <f t="shared" si="0"/>
        <v>13</v>
      </c>
      <c r="F8" s="21">
        <f t="shared" si="0"/>
        <v>0</v>
      </c>
      <c r="G8" s="21">
        <f t="shared" ca="1" si="0"/>
        <v>11</v>
      </c>
      <c r="H8" s="22">
        <f>IFERROR(C8/B8,0)</f>
        <v>9.375E-2</v>
      </c>
      <c r="I8" s="21"/>
      <c r="J8" s="21"/>
      <c r="K8" s="21"/>
    </row>
    <row r="10" spans="1:11" ht="30" customHeight="1" x14ac:dyDescent="0.3">
      <c r="A10" s="165" t="s">
        <v>424</v>
      </c>
      <c r="B10" s="165"/>
      <c r="C10" s="165"/>
      <c r="D10" s="165"/>
      <c r="E10" s="165"/>
      <c r="F10" s="165"/>
      <c r="G10" s="165"/>
      <c r="H10" s="165"/>
      <c r="I10" s="165"/>
      <c r="J10" s="165"/>
      <c r="K10" s="165"/>
    </row>
    <row r="11" spans="1:11" ht="16.5" thickBot="1" x14ac:dyDescent="0.3">
      <c r="A11" s="29" t="s">
        <v>233</v>
      </c>
      <c r="B11" s="29" t="s">
        <v>425</v>
      </c>
      <c r="C11" s="29" t="s">
        <v>3</v>
      </c>
      <c r="D11" s="29" t="s">
        <v>4</v>
      </c>
      <c r="E11" s="29" t="s">
        <v>9</v>
      </c>
      <c r="F11" s="29" t="s">
        <v>426</v>
      </c>
      <c r="G11" s="29" t="s">
        <v>10</v>
      </c>
      <c r="H11" s="29" t="s">
        <v>14</v>
      </c>
      <c r="I11" s="29" t="s">
        <v>17</v>
      </c>
      <c r="J11" s="29" t="s">
        <v>11</v>
      </c>
      <c r="K11" s="29" t="s">
        <v>12</v>
      </c>
    </row>
    <row r="12" spans="1:11" x14ac:dyDescent="0.25">
      <c r="A12" s="2" t="str" cm="1">
        <f t="array" aca="1" ref="A12:K62" ca="1">_xlfn._xlws.SORT(CHOOSE({1,2,3,4,5,6,7,8,9,10,11},'Maintenance PSURs'!L2:L52,'Maintenance PSURs'!C2:C52,'Maintenance PSURs'!D2:D52,'Maintenance PSURs'!E2:E52,'Maintenance PSURs'!J2:J52,'Maintenance PSURs'!O2:O52,'Maintenance PSURs'!K2:K52,'Maintenance PSURs'!P2:P52,'Maintenance PSURs'!S2:S52,'Maintenance PSURs'!M2:M52,'Maintenance PSURs'!N2:N52),1,1)</f>
        <v>Harish</v>
      </c>
      <c r="B12" s="2" t="str">
        <f ca="1"/>
        <v>PSUR039</v>
      </c>
      <c r="C12" s="2" t="str">
        <f ca="1"/>
        <v>Acidified Tyrodes Solution (1060)</v>
      </c>
      <c r="D12" s="2" t="str">
        <f ca="1"/>
        <v>III</v>
      </c>
      <c r="E12" s="3">
        <f ca="1"/>
        <v>46112</v>
      </c>
      <c r="F12" s="4">
        <f ca="1"/>
        <v>-6</v>
      </c>
      <c r="G12" s="2" t="str">
        <f ca="1"/>
        <v>In progress</v>
      </c>
      <c r="H12" s="2" t="str">
        <f ca="1"/>
        <v>🟠 URGENT</v>
      </c>
      <c r="I12" s="2" t="str">
        <f ca="1"/>
        <v>⚠️ YES</v>
      </c>
      <c r="J12" s="2" t="str">
        <f ca="1"/>
        <v>None</v>
      </c>
      <c r="K12" s="2" t="str">
        <f ca="1"/>
        <v>none</v>
      </c>
    </row>
    <row r="13" spans="1:11" x14ac:dyDescent="0.25">
      <c r="A13" s="2" t="str">
        <f ca="1"/>
        <v>Harish</v>
      </c>
      <c r="B13" s="2" t="str">
        <f ca="1"/>
        <v>PSUR016</v>
      </c>
      <c r="C13" s="2" t="str">
        <f ca="1"/>
        <v>PICSI® Sperm Selection Device</v>
      </c>
      <c r="D13" s="2" t="str">
        <f ca="1"/>
        <v>III</v>
      </c>
      <c r="E13" s="3">
        <f ca="1"/>
        <v>46203</v>
      </c>
      <c r="F13" s="4">
        <f ca="1"/>
        <v>85</v>
      </c>
      <c r="G13" s="2" t="str">
        <f ca="1"/>
        <v>Not Started</v>
      </c>
      <c r="H13" s="2" t="str">
        <f ca="1"/>
        <v>🟢 ON TRACK</v>
      </c>
      <c r="I13" s="2" t="str">
        <f ca="1"/>
        <v>No</v>
      </c>
      <c r="J13" s="2" t="str">
        <f ca="1"/>
        <v>None</v>
      </c>
      <c r="K13" s="2" t="str">
        <f ca="1"/>
        <v>none</v>
      </c>
    </row>
    <row r="14" spans="1:11" x14ac:dyDescent="0.25">
      <c r="A14" s="2" t="str">
        <f ca="1"/>
        <v>Harish</v>
      </c>
      <c r="B14" s="2" t="str">
        <f ca="1"/>
        <v>PMS005R</v>
      </c>
      <c r="C14" s="2" t="str">
        <f ca="1"/>
        <v>RI Syringes</v>
      </c>
      <c r="D14" s="2" t="str">
        <f ca="1"/>
        <v>I</v>
      </c>
      <c r="E14" s="3" t="str">
        <f ca="1"/>
        <v>2026-06-06</v>
      </c>
      <c r="F14" s="4" t="str">
        <f ca="1"/>
        <v>N/A</v>
      </c>
      <c r="G14" s="2" t="str">
        <f ca="1"/>
        <v>Assigned</v>
      </c>
      <c r="H14" s="2" t="str">
        <f ca="1"/>
        <v>⚪ TBD</v>
      </c>
      <c r="I14" s="2" t="str">
        <f ca="1"/>
        <v>No</v>
      </c>
      <c r="J14" s="2" t="str">
        <f ca="1"/>
        <v>None</v>
      </c>
      <c r="K14" s="2" t="str">
        <f ca="1"/>
        <v>none</v>
      </c>
    </row>
    <row r="15" spans="1:11" x14ac:dyDescent="0.25">
      <c r="A15" s="2" t="str">
        <f ca="1"/>
        <v>Jeff</v>
      </c>
      <c r="B15" s="2" t="str">
        <f ca="1"/>
        <v>PSUR041</v>
      </c>
      <c r="C15" s="2" t="str">
        <f ca="1"/>
        <v>Liquid Paraffin - CHANGE CURRENT REV C TO B AND B TO A</v>
      </c>
      <c r="D15" s="2" t="str">
        <f ca="1"/>
        <v>IIa</v>
      </c>
      <c r="E15" s="3">
        <f ca="1"/>
        <v>46157</v>
      </c>
      <c r="F15" s="4">
        <f ca="1"/>
        <v>39</v>
      </c>
      <c r="G15" s="2" t="str">
        <f ca="1"/>
        <v>Not Started</v>
      </c>
      <c r="H15" s="2" t="str">
        <f ca="1"/>
        <v>🟡 SOON</v>
      </c>
      <c r="I15" s="2" t="str">
        <f ca="1"/>
        <v>No</v>
      </c>
      <c r="J15" s="2" t="str">
        <f ca="1"/>
        <v>Combine in PSUR041</v>
      </c>
      <c r="K15" s="2" t="str">
        <f ca="1"/>
        <v>PSUR041, PSUR205, PSUR301, PSUR302 and PSUR303 are combined in PSUR041</v>
      </c>
    </row>
    <row r="16" spans="1:11" x14ac:dyDescent="0.25">
      <c r="A16" s="2" t="str">
        <f ca="1"/>
        <v>Jeff</v>
      </c>
      <c r="B16" s="2" t="str">
        <f ca="1"/>
        <v>PSUR044</v>
      </c>
      <c r="C16" s="2" t="str">
        <f ca="1"/>
        <v>VitriFit™</v>
      </c>
      <c r="D16" s="2" t="str">
        <f ca="1"/>
        <v>IIa</v>
      </c>
      <c r="E16" s="3">
        <f ca="1"/>
        <v>46150</v>
      </c>
      <c r="F16" s="4">
        <f ca="1"/>
        <v>32</v>
      </c>
      <c r="G16" s="2" t="str">
        <f ca="1"/>
        <v>Not Started</v>
      </c>
      <c r="H16" s="2" t="str">
        <f ca="1"/>
        <v>🟡 SOON</v>
      </c>
      <c r="I16" s="2" t="str">
        <f ca="1"/>
        <v>No</v>
      </c>
      <c r="J16" s="2" t="str">
        <f ca="1"/>
        <v>None</v>
      </c>
      <c r="K16" s="2" t="str">
        <f ca="1"/>
        <v>none</v>
      </c>
    </row>
    <row r="17" spans="1:11" x14ac:dyDescent="0.25">
      <c r="A17" s="2" t="str">
        <f ca="1"/>
        <v>Jeff</v>
      </c>
      <c r="B17" s="2" t="str">
        <f ca="1"/>
        <v>PSUR050</v>
      </c>
      <c r="C17" s="2" t="str">
        <f ca="1"/>
        <v>RI Witness EHP</v>
      </c>
      <c r="D17" s="2" t="str">
        <f ca="1"/>
        <v>IIa</v>
      </c>
      <c r="E17" s="3">
        <f ca="1"/>
        <v>46080</v>
      </c>
      <c r="F17" s="4">
        <f ca="1"/>
        <v>-38</v>
      </c>
      <c r="G17" s="2" t="str">
        <f ca="1"/>
        <v>In Review</v>
      </c>
      <c r="H17" s="2" t="str">
        <f ca="1"/>
        <v>🔴 OVERDUE</v>
      </c>
      <c r="I17" s="2" t="str">
        <f ca="1"/>
        <v>⚠️ YES</v>
      </c>
      <c r="J17" s="2" t="str">
        <f ca="1"/>
        <v>None</v>
      </c>
      <c r="K17" s="2" t="str">
        <f ca="1"/>
        <v>In draft, need to release
3-6-26 Awaiting Sales/complaint data, updating to new template</v>
      </c>
    </row>
    <row r="18" spans="1:11" x14ac:dyDescent="0.25">
      <c r="A18" s="2" t="str">
        <f ca="1"/>
        <v>Jeff</v>
      </c>
      <c r="B18" s="2" t="str">
        <f ca="1"/>
        <v>PSUR071</v>
      </c>
      <c r="C18" s="2" t="str">
        <f ca="1"/>
        <v>Mobius Elastic Retractors</v>
      </c>
      <c r="D18" s="2" t="str">
        <f ca="1"/>
        <v>IIa</v>
      </c>
      <c r="E18" s="3">
        <f ca="1"/>
        <v>46094</v>
      </c>
      <c r="F18" s="4">
        <f ca="1"/>
        <v>-24</v>
      </c>
      <c r="G18" s="2" t="str">
        <f ca="1"/>
        <v>In progress</v>
      </c>
      <c r="H18" s="2" t="str">
        <f ca="1"/>
        <v>🔴 OVERDUE</v>
      </c>
      <c r="I18" s="2" t="str">
        <f ca="1"/>
        <v>⚠️ YES</v>
      </c>
      <c r="J18" s="2" t="str">
        <f ca="1"/>
        <v>None</v>
      </c>
      <c r="K18" s="2" t="str">
        <f ca="1"/>
        <v>Sales data request issued 3-24-26</v>
      </c>
    </row>
    <row r="19" spans="1:11" x14ac:dyDescent="0.25">
      <c r="A19" s="2" t="str">
        <f ca="1"/>
        <v>Jeff</v>
      </c>
      <c r="B19" s="2" t="str">
        <f ca="1"/>
        <v>PSUR058</v>
      </c>
      <c r="C19" s="2" t="str">
        <f ca="1"/>
        <v>Apple-Hunt Trocars</v>
      </c>
      <c r="D19" s="2" t="str">
        <f ca="1"/>
        <v>IIa</v>
      </c>
      <c r="E19" s="3">
        <f ca="1"/>
        <v>46186</v>
      </c>
      <c r="F19" s="4">
        <f ca="1"/>
        <v>68</v>
      </c>
      <c r="G19" s="2" t="str">
        <f ca="1"/>
        <v>Not Started</v>
      </c>
      <c r="H19" s="2" t="str">
        <f ca="1"/>
        <v>🟢 ON TRACK</v>
      </c>
      <c r="I19" s="2" t="str">
        <f ca="1"/>
        <v>No</v>
      </c>
      <c r="J19" s="2" t="str">
        <f ca="1"/>
        <v>None</v>
      </c>
      <c r="K19" s="2" t="str">
        <f ca="1"/>
        <v>none</v>
      </c>
    </row>
    <row r="20" spans="1:11" x14ac:dyDescent="0.25">
      <c r="A20" s="2" t="str">
        <f ca="1"/>
        <v>Jeff</v>
      </c>
      <c r="B20" s="2" t="str">
        <f ca="1"/>
        <v>PSUR087</v>
      </c>
      <c r="C20" s="2" t="str">
        <f ca="1"/>
        <v>LifeGlobal Dishes GPS® Dishware</v>
      </c>
      <c r="D20" s="2" t="str">
        <f ca="1"/>
        <v>IIa</v>
      </c>
      <c r="E20" s="3">
        <f ca="1"/>
        <v>46199</v>
      </c>
      <c r="F20" s="4">
        <f ca="1"/>
        <v>81</v>
      </c>
      <c r="G20" s="2" t="str">
        <f ca="1"/>
        <v>Not Started</v>
      </c>
      <c r="H20" s="2" t="str">
        <f ca="1"/>
        <v>🟢 ON TRACK</v>
      </c>
      <c r="I20" s="2" t="str">
        <f ca="1"/>
        <v>No</v>
      </c>
      <c r="J20" s="2" t="str">
        <f ca="1"/>
        <v>None</v>
      </c>
      <c r="K20" s="2" t="str">
        <f ca="1"/>
        <v>none</v>
      </c>
    </row>
    <row r="21" spans="1:11" x14ac:dyDescent="0.25">
      <c r="A21" s="2" t="str">
        <f ca="1"/>
        <v>Jeff</v>
      </c>
      <c r="B21" s="2" t="str">
        <f ca="1"/>
        <v>PSUR068</v>
      </c>
      <c r="C21" s="2" t="str">
        <f ca="1"/>
        <v>Wallace Aspiration Pump</v>
      </c>
      <c r="D21" s="2" t="str">
        <f ca="1"/>
        <v>I</v>
      </c>
      <c r="E21" s="3" t="str">
        <f ca="1"/>
        <v>04/30/2026 - Immediate</v>
      </c>
      <c r="F21" s="4" t="str">
        <f ca="1"/>
        <v>N/A</v>
      </c>
      <c r="G21" s="2" t="str">
        <f ca="1"/>
        <v>Not Started</v>
      </c>
      <c r="H21" s="2" t="str">
        <f ca="1"/>
        <v>⚪ TBD</v>
      </c>
      <c r="I21" s="2" t="str">
        <f ca="1"/>
        <v>No</v>
      </c>
      <c r="J21" s="2" t="str">
        <f ca="1"/>
        <v>None</v>
      </c>
      <c r="K21" s="2" t="str">
        <f ca="1"/>
        <v>No available documents released in MC</v>
      </c>
    </row>
    <row r="22" spans="1:11" x14ac:dyDescent="0.25">
      <c r="A22" s="2" t="str">
        <f ca="1"/>
        <v>Jeff</v>
      </c>
      <c r="B22" s="2" t="str">
        <f ca="1"/>
        <v>PSUR083</v>
      </c>
      <c r="C22" s="2" t="str">
        <f ca="1"/>
        <v>LifeDop Dopplers and Probes</v>
      </c>
      <c r="D22" s="2" t="str">
        <f ca="1"/>
        <v>IIa</v>
      </c>
      <c r="E22" s="3">
        <f ca="1"/>
        <v>46108</v>
      </c>
      <c r="F22" s="4">
        <f ca="1"/>
        <v>-10</v>
      </c>
      <c r="G22" s="2" t="str">
        <f ca="1"/>
        <v>In progress</v>
      </c>
      <c r="H22" s="2" t="str">
        <f ca="1"/>
        <v>🔴 OVERDUE</v>
      </c>
      <c r="I22" s="2" t="str">
        <f ca="1"/>
        <v>⚠️ YES</v>
      </c>
      <c r="J22" s="2" t="str">
        <f ca="1"/>
        <v>None</v>
      </c>
      <c r="K22" s="2" t="str">
        <f ca="1"/>
        <v>none</v>
      </c>
    </row>
    <row r="23" spans="1:11" x14ac:dyDescent="0.25">
      <c r="A23" s="2" t="str">
        <f ca="1"/>
        <v>Jeff</v>
      </c>
      <c r="B23" s="2" t="str">
        <f ca="1"/>
        <v>PMS007R</v>
      </c>
      <c r="C23" s="2" t="str">
        <f ca="1"/>
        <v>Adult-Neonatal_Care</v>
      </c>
      <c r="D23" s="2" t="str">
        <f ca="1"/>
        <v>I</v>
      </c>
      <c r="E23" s="3" t="str">
        <f ca="1"/>
        <v>2026-01-03</v>
      </c>
      <c r="F23" s="4" t="str">
        <f ca="1"/>
        <v>N/A</v>
      </c>
      <c r="G23" s="2" t="str">
        <f ca="1"/>
        <v>Not Started</v>
      </c>
      <c r="H23" s="2" t="str">
        <f ca="1"/>
        <v>⚪ TBD</v>
      </c>
      <c r="I23" s="2" t="str">
        <f ca="1"/>
        <v>No</v>
      </c>
      <c r="J23" s="2" t="str">
        <f ca="1"/>
        <v>None</v>
      </c>
      <c r="K23" s="2" t="str">
        <f ca="1"/>
        <v>none</v>
      </c>
    </row>
    <row r="24" spans="1:11" x14ac:dyDescent="0.25">
      <c r="A24" s="2" t="str">
        <f ca="1"/>
        <v>Jeff</v>
      </c>
      <c r="B24" s="2" t="str">
        <f ca="1"/>
        <v>PSUR059</v>
      </c>
      <c r="C24" s="2" t="str">
        <f ca="1"/>
        <v>Assisted Reproduction Catheters</v>
      </c>
      <c r="D24" s="2" t="str">
        <f ca="1"/>
        <v>I</v>
      </c>
      <c r="E24" s="3" t="str">
        <f ca="1"/>
        <v>4/30/2026 - Immediate</v>
      </c>
      <c r="F24" s="4" t="str">
        <f ca="1"/>
        <v>N/A</v>
      </c>
      <c r="G24" s="2" t="str">
        <f ca="1"/>
        <v>Not Started</v>
      </c>
      <c r="H24" s="2" t="str">
        <f ca="1"/>
        <v>⚪ TBD</v>
      </c>
      <c r="I24" s="2" t="str">
        <f ca="1"/>
        <v>No</v>
      </c>
      <c r="J24" s="2" t="str">
        <f ca="1"/>
        <v>None</v>
      </c>
      <c r="K24" s="2" t="str">
        <f ca="1"/>
        <v>No available documents released in MC</v>
      </c>
    </row>
    <row r="25" spans="1:11" x14ac:dyDescent="0.25">
      <c r="A25" s="2" t="str">
        <f ca="1"/>
        <v>TBD</v>
      </c>
      <c r="B25" s="2" t="str">
        <f ca="1"/>
        <v>PSUR007</v>
      </c>
      <c r="C25" s="2" t="str">
        <f ca="1"/>
        <v>LoneStar Retractor Kit</v>
      </c>
      <c r="D25" s="2" t="str">
        <f ca="1"/>
        <v>IIa</v>
      </c>
      <c r="E25" s="3">
        <f ca="1"/>
        <v>46073</v>
      </c>
      <c r="F25" s="4">
        <f ca="1"/>
        <v>-45</v>
      </c>
      <c r="G25" s="2" t="str">
        <f ca="1"/>
        <v>In progress</v>
      </c>
      <c r="H25" s="2" t="str">
        <f ca="1"/>
        <v>🔴 OVERDUE</v>
      </c>
      <c r="I25" s="2" t="str">
        <f ca="1"/>
        <v>⚠️ YES</v>
      </c>
      <c r="J25" s="2" t="str">
        <f ca="1"/>
        <v>None</v>
      </c>
      <c r="K25" s="2">
        <f ca="1"/>
        <v>0</v>
      </c>
    </row>
    <row r="26" spans="1:11" x14ac:dyDescent="0.25">
      <c r="A26" s="2" t="str">
        <f ca="1"/>
        <v>TBD</v>
      </c>
      <c r="B26" s="2" t="str">
        <f ca="1"/>
        <v>PMS007R</v>
      </c>
      <c r="C26" s="2" t="str">
        <f ca="1"/>
        <v>Retractors</v>
      </c>
      <c r="D26" s="2" t="str">
        <f ca="1"/>
        <v>Is</v>
      </c>
      <c r="E26" s="3">
        <f ca="1"/>
        <v>0</v>
      </c>
      <c r="F26" s="4" t="str">
        <f ca="1"/>
        <v>N/A</v>
      </c>
      <c r="G26" s="2" t="str">
        <f ca="1"/>
        <v>Not Started</v>
      </c>
      <c r="H26" s="2" t="str">
        <f ca="1"/>
        <v>⚪ TBD</v>
      </c>
      <c r="I26" s="2" t="str">
        <f ca="1"/>
        <v>No</v>
      </c>
      <c r="J26" s="2" t="str">
        <f ca="1"/>
        <v>Combine with PSUR007</v>
      </c>
      <c r="K26" s="2">
        <f ca="1"/>
        <v>0</v>
      </c>
    </row>
    <row r="27" spans="1:11" x14ac:dyDescent="0.25">
      <c r="A27" s="2" t="str">
        <f ca="1"/>
        <v>TBD</v>
      </c>
      <c r="B27" s="2" t="str">
        <f ca="1"/>
        <v>PMS062R</v>
      </c>
      <c r="C27" s="2" t="str">
        <f ca="1"/>
        <v>Endometrial_Suction_Curette</v>
      </c>
      <c r="D27" s="2" t="str">
        <f ca="1"/>
        <v>I</v>
      </c>
      <c r="E27" s="3" t="str">
        <f ca="1"/>
        <v>Immediate</v>
      </c>
      <c r="F27" s="4" t="str">
        <f ca="1"/>
        <v>N/A</v>
      </c>
      <c r="G27" s="2" t="str">
        <f ca="1"/>
        <v>Not Started</v>
      </c>
      <c r="H27" s="2" t="str">
        <f ca="1"/>
        <v>⚪ TBD</v>
      </c>
      <c r="I27" s="2" t="str">
        <f ca="1"/>
        <v>No</v>
      </c>
      <c r="J27" s="2" t="str">
        <f ca="1"/>
        <v>None</v>
      </c>
      <c r="K27" s="2" t="str">
        <f ca="1"/>
        <v>No available documents released in MC</v>
      </c>
    </row>
    <row r="28" spans="1:11" x14ac:dyDescent="0.25">
      <c r="A28" s="2" t="str">
        <f ca="1"/>
        <v>TBD</v>
      </c>
      <c r="B28" s="2" t="str">
        <f ca="1"/>
        <v>PMS123R</v>
      </c>
      <c r="C28" s="2" t="str">
        <f ca="1"/>
        <v>K-Systems Flex Short-term Incubator Module</v>
      </c>
      <c r="D28" s="2" t="str">
        <f ca="1"/>
        <v>I</v>
      </c>
      <c r="E28" s="3">
        <f ca="1"/>
        <v>0</v>
      </c>
      <c r="F28" s="4" t="str">
        <f ca="1"/>
        <v>N/A</v>
      </c>
      <c r="G28" s="2" t="str">
        <f ca="1"/>
        <v>Not Started</v>
      </c>
      <c r="H28" s="2" t="str">
        <f ca="1"/>
        <v>⚪ TBD</v>
      </c>
      <c r="I28" s="2" t="str">
        <f ca="1"/>
        <v>No</v>
      </c>
      <c r="J28" s="2" t="str">
        <f ca="1"/>
        <v>None</v>
      </c>
      <c r="K28" s="2" t="str">
        <f ca="1"/>
        <v>Terence will be conforming</v>
      </c>
    </row>
    <row r="29" spans="1:11" x14ac:dyDescent="0.25">
      <c r="A29" s="2" t="str">
        <f ca="1"/>
        <v>TBD</v>
      </c>
      <c r="B29" s="2" t="str">
        <f ca="1"/>
        <v>PMS124R</v>
      </c>
      <c r="C29" s="2" t="str">
        <f ca="1"/>
        <v>Embryo Biopsy Kit</v>
      </c>
      <c r="D29" s="2" t="str">
        <f ca="1"/>
        <v>I</v>
      </c>
      <c r="E29" s="3">
        <f ca="1"/>
        <v>0</v>
      </c>
      <c r="F29" s="4" t="str">
        <f ca="1"/>
        <v>N/A</v>
      </c>
      <c r="G29" s="2" t="str">
        <f ca="1"/>
        <v>Not Started</v>
      </c>
      <c r="H29" s="2" t="str">
        <f ca="1"/>
        <v>⚪ TBD</v>
      </c>
      <c r="I29" s="2" t="str">
        <f ca="1"/>
        <v>No</v>
      </c>
      <c r="J29" s="2" t="str">
        <f ca="1"/>
        <v>None</v>
      </c>
      <c r="K29" s="2" t="str">
        <f ca="1"/>
        <v>Terence will be conforming</v>
      </c>
    </row>
    <row r="30" spans="1:11" x14ac:dyDescent="0.25">
      <c r="A30" s="2" t="str">
        <f ca="1"/>
        <v>TBD</v>
      </c>
      <c r="B30" s="2" t="str">
        <f ca="1"/>
        <v>PMS125R</v>
      </c>
      <c r="C30" s="2" t="str">
        <f ca="1"/>
        <v>Endometrial Biopsy Kit</v>
      </c>
      <c r="D30" s="2" t="str">
        <f ca="1"/>
        <v>I</v>
      </c>
      <c r="E30" s="3">
        <f ca="1"/>
        <v>0</v>
      </c>
      <c r="F30" s="4" t="str">
        <f ca="1"/>
        <v>N/A</v>
      </c>
      <c r="G30" s="2" t="str">
        <f ca="1"/>
        <v>Not Started</v>
      </c>
      <c r="H30" s="2" t="str">
        <f ca="1"/>
        <v>⚪ TBD</v>
      </c>
      <c r="I30" s="2" t="str">
        <f ca="1"/>
        <v>No</v>
      </c>
      <c r="J30" s="2" t="str">
        <f ca="1"/>
        <v>None</v>
      </c>
      <c r="K30" s="2" t="str">
        <f ca="1"/>
        <v>Terence will be conforming</v>
      </c>
    </row>
    <row r="31" spans="1:11" x14ac:dyDescent="0.25">
      <c r="A31" s="2" t="str">
        <f ca="1"/>
        <v>TBD</v>
      </c>
      <c r="B31" s="2" t="str">
        <f ca="1"/>
        <v>PSUR018</v>
      </c>
      <c r="C31" s="2" t="str">
        <f ca="1"/>
        <v>LEEP ELECTRODES</v>
      </c>
      <c r="D31" s="2" t="str">
        <f ca="1"/>
        <v>IIb</v>
      </c>
      <c r="E31" s="3">
        <f ca="1"/>
        <v>46290</v>
      </c>
      <c r="F31" s="4">
        <f ca="1"/>
        <v>172</v>
      </c>
      <c r="G31" s="2" t="str">
        <f ca="1"/>
        <v>Not Started</v>
      </c>
      <c r="H31" s="2" t="str">
        <f ca="1"/>
        <v>🟢 ON TRACK</v>
      </c>
      <c r="I31" s="2" t="str">
        <f ca="1"/>
        <v>No</v>
      </c>
      <c r="J31" s="2" t="str">
        <f ca="1"/>
        <v>None</v>
      </c>
      <c r="K31" s="2">
        <f ca="1"/>
        <v>0</v>
      </c>
    </row>
    <row r="32" spans="1:11" x14ac:dyDescent="0.25">
      <c r="A32" s="2" t="str">
        <f ca="1"/>
        <v>TBD</v>
      </c>
      <c r="B32" s="2" t="str">
        <f ca="1"/>
        <v>PSUR047</v>
      </c>
      <c r="C32" s="2" t="str">
        <f ca="1"/>
        <v>SynVitro® Hyadase</v>
      </c>
      <c r="D32" s="2" t="str">
        <f ca="1"/>
        <v>III</v>
      </c>
      <c r="E32" s="3">
        <f ca="1"/>
        <v>46233</v>
      </c>
      <c r="F32" s="4">
        <f ca="1"/>
        <v>115</v>
      </c>
      <c r="G32" s="2" t="str">
        <f ca="1"/>
        <v>Not Started</v>
      </c>
      <c r="H32" s="2" t="str">
        <f ca="1"/>
        <v>🟢 ON TRACK</v>
      </c>
      <c r="I32" s="2" t="str">
        <f ca="1"/>
        <v>No</v>
      </c>
      <c r="J32" s="2" t="str">
        <f ca="1"/>
        <v>None</v>
      </c>
      <c r="K32" s="2" t="str">
        <f ca="1"/>
        <v>none</v>
      </c>
    </row>
    <row r="33" spans="1:11" x14ac:dyDescent="0.25">
      <c r="A33" s="2" t="str">
        <f ca="1"/>
        <v>TBD</v>
      </c>
      <c r="B33" s="2" t="str">
        <f ca="1"/>
        <v>PSUR048</v>
      </c>
      <c r="C33" s="2" t="str">
        <f ca="1"/>
        <v>Integra 3 Micromanipulator</v>
      </c>
      <c r="D33" s="2" t="str">
        <f ca="1"/>
        <v>IIa</v>
      </c>
      <c r="E33" s="3">
        <f ca="1"/>
        <v>46233</v>
      </c>
      <c r="F33" s="4">
        <f ca="1"/>
        <v>115</v>
      </c>
      <c r="G33" s="2" t="str">
        <f ca="1"/>
        <v>Not Started</v>
      </c>
      <c r="H33" s="2" t="str">
        <f ca="1"/>
        <v>🟢 ON TRACK</v>
      </c>
      <c r="I33" s="2" t="str">
        <f ca="1"/>
        <v>No</v>
      </c>
      <c r="J33" s="2" t="str">
        <f ca="1"/>
        <v>None</v>
      </c>
      <c r="K33" s="2">
        <f ca="1"/>
        <v>0</v>
      </c>
    </row>
    <row r="34" spans="1:11" x14ac:dyDescent="0.25">
      <c r="A34" s="2" t="str">
        <f ca="1"/>
        <v>TBD</v>
      </c>
      <c r="B34" s="2" t="str">
        <f ca="1"/>
        <v>PSUR060</v>
      </c>
      <c r="C34" s="2" t="str">
        <f ca="1"/>
        <v>Carter-Thomason Port Closure Products</v>
      </c>
      <c r="D34" s="2" t="str">
        <f ca="1"/>
        <v>IIa</v>
      </c>
      <c r="E34" s="3">
        <f ca="1"/>
        <v>46262</v>
      </c>
      <c r="F34" s="4">
        <f ca="1"/>
        <v>144</v>
      </c>
      <c r="G34" s="2" t="str">
        <f ca="1"/>
        <v>Not Started</v>
      </c>
      <c r="H34" s="2" t="str">
        <f ca="1"/>
        <v>🟢 ON TRACK</v>
      </c>
      <c r="I34" s="2" t="str">
        <f ca="1"/>
        <v>No</v>
      </c>
      <c r="J34" s="2" t="str">
        <f ca="1"/>
        <v>None</v>
      </c>
      <c r="K34" s="2" t="str">
        <f ca="1"/>
        <v>none</v>
      </c>
    </row>
    <row r="35" spans="1:11" x14ac:dyDescent="0.25">
      <c r="A35" s="2" t="str">
        <f ca="1"/>
        <v>TBD</v>
      </c>
      <c r="B35" s="2" t="str">
        <f ca="1"/>
        <v>PSUR073</v>
      </c>
      <c r="C35" s="2" t="str">
        <f ca="1"/>
        <v>IVF PASTEUR PIPETTES</v>
      </c>
      <c r="D35" s="2" t="str">
        <f ca="1"/>
        <v>IIa</v>
      </c>
      <c r="E35" s="3">
        <f ca="1"/>
        <v>46241</v>
      </c>
      <c r="F35" s="4">
        <f ca="1"/>
        <v>123</v>
      </c>
      <c r="G35" s="2" t="str">
        <f ca="1"/>
        <v>Not Started</v>
      </c>
      <c r="H35" s="2" t="str">
        <f ca="1"/>
        <v>🟢 ON TRACK</v>
      </c>
      <c r="I35" s="2" t="str">
        <f ca="1"/>
        <v>No</v>
      </c>
      <c r="J35" s="2" t="str">
        <f ca="1"/>
        <v>None</v>
      </c>
      <c r="K35" s="2" t="str">
        <f ca="1"/>
        <v>none</v>
      </c>
    </row>
    <row r="36" spans="1:11" x14ac:dyDescent="0.25">
      <c r="A36" s="2" t="str">
        <f ca="1"/>
        <v>TBD</v>
      </c>
      <c r="B36" s="2" t="str">
        <f ca="1"/>
        <v>PSUR105</v>
      </c>
      <c r="C36" s="2" t="str">
        <f ca="1"/>
        <v>Stripper Tips</v>
      </c>
      <c r="D36" s="2" t="str">
        <f ca="1"/>
        <v>IIB</v>
      </c>
      <c r="E36" s="3">
        <f ca="1"/>
        <v>46234</v>
      </c>
      <c r="F36" s="4">
        <f ca="1"/>
        <v>116</v>
      </c>
      <c r="G36" s="2" t="str">
        <f ca="1"/>
        <v>Not Started</v>
      </c>
      <c r="H36" s="2" t="str">
        <f ca="1"/>
        <v>🟢 ON TRACK</v>
      </c>
      <c r="I36" s="2" t="str">
        <f ca="1"/>
        <v>No</v>
      </c>
      <c r="J36" s="2" t="str">
        <f ca="1"/>
        <v>None</v>
      </c>
      <c r="K36" s="2">
        <f ca="1"/>
        <v>0</v>
      </c>
    </row>
    <row r="37" spans="1:11" x14ac:dyDescent="0.25">
      <c r="A37" s="2" t="str">
        <f ca="1"/>
        <v>TBD</v>
      </c>
      <c r="B37" s="2" t="str">
        <f ca="1"/>
        <v>PSUR130</v>
      </c>
      <c r="C37" s="2" t="str">
        <f ca="1"/>
        <v>TD130 Bakri Postpartum Balloon</v>
      </c>
      <c r="D37" s="2" t="str">
        <f ca="1"/>
        <v>IIa</v>
      </c>
      <c r="E37" s="3">
        <f ca="1"/>
        <v>46228</v>
      </c>
      <c r="F37" s="4">
        <f ca="1"/>
        <v>110</v>
      </c>
      <c r="G37" s="2" t="str">
        <f ca="1"/>
        <v>Not Started</v>
      </c>
      <c r="H37" s="2" t="str">
        <f ca="1"/>
        <v>🟢 ON TRACK</v>
      </c>
      <c r="I37" s="2" t="str">
        <f ca="1"/>
        <v>No</v>
      </c>
      <c r="J37" s="2" t="str">
        <f ca="1"/>
        <v>None</v>
      </c>
      <c r="K37" s="2">
        <f ca="1"/>
        <v>0</v>
      </c>
    </row>
    <row r="38" spans="1:11" x14ac:dyDescent="0.25">
      <c r="A38" s="2" t="str">
        <f ca="1"/>
        <v>TBD</v>
      </c>
      <c r="B38" s="2" t="str">
        <f ca="1"/>
        <v>PSUR131</v>
      </c>
      <c r="C38" s="2" t="str">
        <f ca="1"/>
        <v>TD131_Cervical Ripening Balloon (CRB) Products</v>
      </c>
      <c r="D38" s="2" t="str">
        <f ca="1"/>
        <v>IIa</v>
      </c>
      <c r="E38" s="3">
        <f ca="1"/>
        <v>46332</v>
      </c>
      <c r="F38" s="4">
        <f ca="1"/>
        <v>214</v>
      </c>
      <c r="G38" s="2" t="str">
        <f ca="1"/>
        <v>Not Started</v>
      </c>
      <c r="H38" s="2" t="str">
        <f ca="1"/>
        <v>🟢 ON TRACK</v>
      </c>
      <c r="I38" s="2" t="str">
        <f ca="1"/>
        <v>No</v>
      </c>
      <c r="J38" s="2" t="str">
        <f ca="1"/>
        <v>None</v>
      </c>
      <c r="K38" s="2">
        <f ca="1"/>
        <v>0</v>
      </c>
    </row>
    <row r="39" spans="1:11" x14ac:dyDescent="0.25">
      <c r="A39" s="2" t="str">
        <f ca="1"/>
        <v>TBD</v>
      </c>
      <c r="B39" s="2" t="str">
        <f ca="1"/>
        <v>PSUR147</v>
      </c>
      <c r="C39" s="2" t="str">
        <f ca="1"/>
        <v>Global Total and Global HP</v>
      </c>
      <c r="D39" s="2" t="str">
        <f ca="1"/>
        <v>III</v>
      </c>
      <c r="E39" s="3">
        <f ca="1"/>
        <v>46233</v>
      </c>
      <c r="F39" s="4">
        <f ca="1"/>
        <v>115</v>
      </c>
      <c r="G39" s="2" t="str">
        <f ca="1"/>
        <v>Not Started</v>
      </c>
      <c r="H39" s="2" t="str">
        <f ca="1"/>
        <v>🟢 ON TRACK</v>
      </c>
      <c r="I39" s="2" t="str">
        <f ca="1"/>
        <v>No</v>
      </c>
      <c r="J39" s="2" t="str">
        <f ca="1"/>
        <v>None</v>
      </c>
      <c r="K39" s="2">
        <f ca="1"/>
        <v>0</v>
      </c>
    </row>
    <row r="40" spans="1:11" x14ac:dyDescent="0.25">
      <c r="A40" s="2" t="str">
        <f ca="1"/>
        <v>TBD</v>
      </c>
      <c r="B40" s="2" t="str">
        <f ca="1"/>
        <v>PSUR148</v>
      </c>
      <c r="C40" s="2" t="str">
        <f ca="1"/>
        <v>Global Total Fert</v>
      </c>
      <c r="D40" s="2" t="str">
        <f ca="1"/>
        <v>III</v>
      </c>
      <c r="E40" s="3">
        <f ca="1"/>
        <v>46255</v>
      </c>
      <c r="F40" s="4">
        <f ca="1"/>
        <v>137</v>
      </c>
      <c r="G40" s="2" t="str">
        <f ca="1"/>
        <v>Not Started</v>
      </c>
      <c r="H40" s="2" t="str">
        <f ca="1"/>
        <v>🟢 ON TRACK</v>
      </c>
      <c r="I40" s="2" t="str">
        <f ca="1"/>
        <v>No</v>
      </c>
      <c r="J40" s="2" t="str">
        <f ca="1"/>
        <v>None</v>
      </c>
      <c r="K40" s="2">
        <f ca="1"/>
        <v>0</v>
      </c>
    </row>
    <row r="41" spans="1:11" x14ac:dyDescent="0.25">
      <c r="A41" s="2" t="str">
        <f ca="1"/>
        <v>TBD</v>
      </c>
      <c r="B41" s="2" t="str">
        <f ca="1"/>
        <v>PSUR149</v>
      </c>
      <c r="C41" s="2" t="str">
        <f ca="1"/>
        <v>Global Total™ with HEPES, 50mL, 100mL HTF w/ HEPES, 100 mL, 500 mL Washing mHTF with HEPES &amp; Phenol Red, 100mL, 500mL</v>
      </c>
      <c r="D41" s="2" t="str">
        <f ca="1"/>
        <v>III</v>
      </c>
      <c r="E41" s="3">
        <f ca="1"/>
        <v>46262</v>
      </c>
      <c r="F41" s="4">
        <f ca="1"/>
        <v>144</v>
      </c>
      <c r="G41" s="2" t="str">
        <f ca="1"/>
        <v>Not Started</v>
      </c>
      <c r="H41" s="2" t="str">
        <f ca="1"/>
        <v>🟢 ON TRACK</v>
      </c>
      <c r="I41" s="2" t="str">
        <f ca="1"/>
        <v>No</v>
      </c>
      <c r="J41" s="2" t="str">
        <f ca="1"/>
        <v>None</v>
      </c>
      <c r="K41" s="2">
        <f ca="1"/>
        <v>0</v>
      </c>
    </row>
    <row r="42" spans="1:11" x14ac:dyDescent="0.25">
      <c r="A42" s="2" t="str">
        <f ca="1"/>
        <v>TBD</v>
      </c>
      <c r="B42" s="2" t="str">
        <f ca="1"/>
        <v>PSUR150</v>
      </c>
      <c r="C42" s="2" t="str">
        <f ca="1"/>
        <v>LifeGlobal™ Protein Supplement, 20mL LifeGlobal™ Protein Supplement, 50mL LifeGlobal™ Protein Supplement, 6 x 5mL Quinn's Advantage™ SPS  Serum Protein Substitute 100 ml Quinn's Advantage™ SPS Serum Protein Substitute Kit, 12 x 12mL</v>
      </c>
      <c r="D42" s="2" t="str">
        <f ca="1"/>
        <v>III</v>
      </c>
      <c r="E42" s="3">
        <f ca="1"/>
        <v>46283</v>
      </c>
      <c r="F42" s="4">
        <f ca="1"/>
        <v>165</v>
      </c>
      <c r="G42" s="2" t="str">
        <f ca="1"/>
        <v>Not Started</v>
      </c>
      <c r="H42" s="2" t="str">
        <f ca="1"/>
        <v>🟢 ON TRACK</v>
      </c>
      <c r="I42" s="2" t="str">
        <f ca="1"/>
        <v>No</v>
      </c>
      <c r="J42" s="2" t="str">
        <f ca="1"/>
        <v>None</v>
      </c>
      <c r="K42" s="2">
        <f ca="1"/>
        <v>0</v>
      </c>
    </row>
    <row r="43" spans="1:11" x14ac:dyDescent="0.25">
      <c r="A43" s="2" t="str">
        <f ca="1"/>
        <v>TBD</v>
      </c>
      <c r="B43" s="2" t="str">
        <f ca="1"/>
        <v>PSUR151</v>
      </c>
      <c r="C43" s="2" t="str">
        <f ca="1"/>
        <v>Hyaluronidase, 6 x 1 ml</v>
      </c>
      <c r="D43" s="2" t="str">
        <f ca="1"/>
        <v>III</v>
      </c>
      <c r="E43" s="3">
        <f ca="1"/>
        <v>46290</v>
      </c>
      <c r="F43" s="4">
        <f ca="1"/>
        <v>172</v>
      </c>
      <c r="G43" s="2" t="str">
        <f ca="1"/>
        <v>Not Started</v>
      </c>
      <c r="H43" s="2" t="str">
        <f ca="1"/>
        <v>🟢 ON TRACK</v>
      </c>
      <c r="I43" s="2" t="str">
        <f ca="1"/>
        <v>No</v>
      </c>
      <c r="J43" s="2" t="str">
        <f ca="1"/>
        <v>None</v>
      </c>
      <c r="K43" s="2">
        <f ca="1"/>
        <v>0</v>
      </c>
    </row>
    <row r="44" spans="1:11" x14ac:dyDescent="0.25">
      <c r="A44" s="2" t="str">
        <f ca="1"/>
        <v>Terence</v>
      </c>
      <c r="B44" s="2" t="str">
        <f ca="1"/>
        <v>PMS002R</v>
      </c>
      <c r="C44" s="2" t="str">
        <f ca="1"/>
        <v>Leisegang Coloscopes</v>
      </c>
      <c r="D44" s="2" t="str">
        <f ca="1"/>
        <v>I</v>
      </c>
      <c r="E44" s="3">
        <f ca="1"/>
        <v>46113</v>
      </c>
      <c r="F44" s="4">
        <f ca="1"/>
        <v>-5</v>
      </c>
      <c r="G44" s="2" t="str">
        <f ca="1"/>
        <v>In progress</v>
      </c>
      <c r="H44" s="2" t="str">
        <f ca="1"/>
        <v>🟠 URGENT</v>
      </c>
      <c r="I44" s="2" t="str">
        <f ca="1"/>
        <v>⚠️ YES</v>
      </c>
      <c r="J44" s="2" t="str">
        <f ca="1"/>
        <v>None</v>
      </c>
      <c r="K44" s="2" t="str">
        <f ca="1"/>
        <v>none</v>
      </c>
    </row>
    <row r="45" spans="1:11" x14ac:dyDescent="0.25">
      <c r="A45" s="2" t="str">
        <f ca="1"/>
        <v>Terence</v>
      </c>
      <c r="B45" s="2" t="str">
        <f ca="1"/>
        <v>PMS003R</v>
      </c>
      <c r="C45" s="2" t="str">
        <f ca="1"/>
        <v>Ally Uterine Positioning System</v>
      </c>
      <c r="D45" s="2" t="str">
        <f ca="1"/>
        <v>I</v>
      </c>
      <c r="E45" s="3" t="str">
        <f ca="1"/>
        <v>2026-01-15</v>
      </c>
      <c r="F45" s="4" t="str">
        <f ca="1"/>
        <v>N/A</v>
      </c>
      <c r="G45" s="2" t="str">
        <f ca="1"/>
        <v>In Review</v>
      </c>
      <c r="H45" s="2" t="str">
        <f ca="1"/>
        <v>⚪ TBD</v>
      </c>
      <c r="I45" s="2" t="str">
        <f ca="1"/>
        <v>No</v>
      </c>
      <c r="J45" s="2" t="str">
        <f ca="1"/>
        <v>None</v>
      </c>
      <c r="K45" s="2" t="str">
        <f ca="1"/>
        <v>Determining the denominator</v>
      </c>
    </row>
    <row r="46" spans="1:11" x14ac:dyDescent="0.25">
      <c r="A46" s="2" t="str">
        <f ca="1"/>
        <v>Terence</v>
      </c>
      <c r="B46" s="2" t="str">
        <f ca="1"/>
        <v>PMS008R</v>
      </c>
      <c r="C46" s="2" t="str">
        <f ca="1"/>
        <v>Endosee Hysteroscopy Product Family</v>
      </c>
      <c r="D46" s="2" t="str">
        <f ca="1"/>
        <v>I</v>
      </c>
      <c r="E46" s="3" t="str">
        <f ca="1"/>
        <v>2026-03-01</v>
      </c>
      <c r="F46" s="4" t="str">
        <f ca="1"/>
        <v>-</v>
      </c>
      <c r="G46" s="2" t="str">
        <f ca="1"/>
        <v>Completed</v>
      </c>
      <c r="H46" s="2" t="str">
        <f ca="1"/>
        <v>✅ DONE</v>
      </c>
      <c r="I46" s="2" t="str">
        <f ca="1"/>
        <v>No</v>
      </c>
      <c r="J46" s="2" t="str">
        <f ca="1"/>
        <v>None</v>
      </c>
      <c r="K46" s="2">
        <f ca="1"/>
        <v>0</v>
      </c>
    </row>
    <row r="47" spans="1:11" x14ac:dyDescent="0.25">
      <c r="A47" s="2" t="str">
        <f ca="1"/>
        <v>Terence</v>
      </c>
      <c r="B47" s="2" t="str">
        <f ca="1"/>
        <v>PMS009R</v>
      </c>
      <c r="C47" s="2" t="str">
        <f ca="1"/>
        <v>Comfit Trake - Nofit, NEO-prep</v>
      </c>
      <c r="D47" s="2" t="str">
        <f ca="1"/>
        <v>I</v>
      </c>
      <c r="E47" s="3">
        <f ca="1"/>
        <v>0</v>
      </c>
      <c r="F47" s="4" t="str">
        <f ca="1"/>
        <v>N/A</v>
      </c>
      <c r="G47" s="2" t="str">
        <f ca="1"/>
        <v>In Review</v>
      </c>
      <c r="H47" s="2" t="str">
        <f ca="1"/>
        <v>⚪ TBD</v>
      </c>
      <c r="I47" s="2" t="str">
        <f ca="1"/>
        <v>No</v>
      </c>
      <c r="J47" s="2">
        <f ca="1"/>
        <v>0</v>
      </c>
      <c r="K47" s="2">
        <f ca="1"/>
        <v>0</v>
      </c>
    </row>
    <row r="48" spans="1:11" x14ac:dyDescent="0.25">
      <c r="A48" s="2" t="str">
        <f ca="1"/>
        <v>Terence</v>
      </c>
      <c r="B48" s="2" t="str">
        <f ca="1"/>
        <v>PMSR017</v>
      </c>
      <c r="C48" s="2" t="str">
        <f ca="1"/>
        <v>EZ-Grip &amp; Comfort Rest</v>
      </c>
      <c r="D48" s="2" t="str">
        <f ca="1"/>
        <v>I</v>
      </c>
      <c r="E48" s="3" t="str">
        <f ca="1"/>
        <v>2026-01-23</v>
      </c>
      <c r="F48" s="4" t="str">
        <f ca="1"/>
        <v>N/A</v>
      </c>
      <c r="G48" s="2" t="str">
        <f ca="1"/>
        <v>In Review</v>
      </c>
      <c r="H48" s="2" t="str">
        <f ca="1"/>
        <v>⚪ TBD</v>
      </c>
      <c r="I48" s="2" t="str">
        <f ca="1"/>
        <v>No</v>
      </c>
      <c r="J48" s="2" t="str">
        <f ca="1"/>
        <v>None</v>
      </c>
      <c r="K48" s="2" t="str">
        <f ca="1"/>
        <v>Need to check with Terence</v>
      </c>
    </row>
    <row r="49" spans="1:11" x14ac:dyDescent="0.25">
      <c r="A49" s="2" t="str">
        <f ca="1"/>
        <v>Terence</v>
      </c>
      <c r="B49" s="2" t="str">
        <f ca="1"/>
        <v>PSUR081</v>
      </c>
      <c r="C49" s="2" t="str">
        <f ca="1"/>
        <v>Fischer cone Biopsy Electrodes</v>
      </c>
      <c r="D49" s="2" t="str">
        <f ca="1"/>
        <v>IIb</v>
      </c>
      <c r="E49" s="3">
        <f ca="1"/>
        <v>46087</v>
      </c>
      <c r="F49" s="4">
        <f ca="1"/>
        <v>-31</v>
      </c>
      <c r="G49" s="2" t="str">
        <f ca="1"/>
        <v>In progress</v>
      </c>
      <c r="H49" s="2" t="str">
        <f ca="1"/>
        <v>🔴 OVERDUE</v>
      </c>
      <c r="I49" s="2" t="str">
        <f ca="1"/>
        <v>⚠️ YES</v>
      </c>
      <c r="J49" s="2" t="str">
        <f ca="1"/>
        <v>None</v>
      </c>
      <c r="K49" s="2" t="str">
        <f ca="1"/>
        <v>none</v>
      </c>
    </row>
    <row r="50" spans="1:11" x14ac:dyDescent="0.25">
      <c r="A50" s="2" t="str">
        <f ca="1"/>
        <v>Terence</v>
      </c>
      <c r="B50" s="2" t="str">
        <f ca="1"/>
        <v>PSUR103</v>
      </c>
      <c r="C50" s="2" t="str">
        <f ca="1"/>
        <v>Micropipettes, Biopsy, ICISI_x000D__x000D__x000D_
Assisted Hatching (Mechanical and Chemical)_x000D__x000D__x000D_
Holding</v>
      </c>
      <c r="D50" s="2" t="str">
        <f ca="1"/>
        <v>IIb</v>
      </c>
      <c r="E50" s="3" t="str">
        <f ca="1"/>
        <v>2/20/2026 - Immediate</v>
      </c>
      <c r="F50" s="4" t="str">
        <f ca="1"/>
        <v>-</v>
      </c>
      <c r="G50" s="2" t="str">
        <f ca="1"/>
        <v>Completed</v>
      </c>
      <c r="H50" s="2" t="str">
        <f ca="1"/>
        <v>✅ DONE</v>
      </c>
      <c r="I50" s="2" t="str">
        <f ca="1"/>
        <v>No</v>
      </c>
      <c r="J50" s="2" t="str">
        <f ca="1"/>
        <v>None</v>
      </c>
      <c r="K50" s="2" t="str">
        <f ca="1"/>
        <v>CER deadline 19 January 2026</v>
      </c>
    </row>
    <row r="51" spans="1:11" x14ac:dyDescent="0.25">
      <c r="A51" s="2" t="str">
        <f ca="1"/>
        <v>Terence</v>
      </c>
      <c r="B51" s="2" t="str">
        <f ca="1"/>
        <v>PSUR129</v>
      </c>
      <c r="C51" s="2" t="str">
        <f ca="1"/>
        <v>Cook Doppler blood flow monitor products</v>
      </c>
      <c r="D51" s="2" t="str">
        <f ca="1"/>
        <v>IIb</v>
      </c>
      <c r="E51" s="3">
        <f ca="1"/>
        <v>46080</v>
      </c>
      <c r="F51" s="4">
        <f ca="1"/>
        <v>-38</v>
      </c>
      <c r="G51" s="2" t="str">
        <f ca="1"/>
        <v>In Review</v>
      </c>
      <c r="H51" s="2" t="str">
        <f ca="1"/>
        <v>🔴 OVERDUE</v>
      </c>
      <c r="I51" s="2" t="str">
        <f ca="1"/>
        <v>⚠️ YES</v>
      </c>
      <c r="J51" s="2" t="str">
        <f ca="1"/>
        <v>None</v>
      </c>
      <c r="K51" s="2">
        <f ca="1"/>
        <v>0</v>
      </c>
    </row>
    <row r="52" spans="1:11" x14ac:dyDescent="0.25">
      <c r="A52" s="2" t="str">
        <f ca="1"/>
        <v>Terence</v>
      </c>
      <c r="B52" s="2" t="str">
        <f ca="1"/>
        <v>PSUR104</v>
      </c>
      <c r="C52" s="2" t="str">
        <f ca="1"/>
        <v xml:space="preserve"> HBA Biocoat</v>
      </c>
      <c r="D52" s="2" t="str">
        <f ca="1"/>
        <v>I</v>
      </c>
      <c r="E52" s="3">
        <f ca="1"/>
        <v>46101</v>
      </c>
      <c r="F52" s="4">
        <f ca="1"/>
        <v>-17</v>
      </c>
      <c r="G52" s="2" t="str">
        <f ca="1"/>
        <v>In progress</v>
      </c>
      <c r="H52" s="2" t="str">
        <f ca="1"/>
        <v>🔴 OVERDUE</v>
      </c>
      <c r="I52" s="2" t="str">
        <f ca="1"/>
        <v>⚠️ YES</v>
      </c>
      <c r="J52" s="2" t="str">
        <f ca="1"/>
        <v>None</v>
      </c>
      <c r="K52" s="2" t="str">
        <f ca="1"/>
        <v>No available documents released in MC</v>
      </c>
    </row>
    <row r="53" spans="1:11" x14ac:dyDescent="0.25">
      <c r="A53" s="2" t="str">
        <f ca="1"/>
        <v>Terence</v>
      </c>
      <c r="B53" s="2" t="str">
        <f ca="1"/>
        <v>PSUR118</v>
      </c>
      <c r="C53" s="2" t="str">
        <f ca="1"/>
        <v>OBP AnoSpec Lighted Anoscopes</v>
      </c>
      <c r="D53" s="2" t="str">
        <f ca="1"/>
        <v>I</v>
      </c>
      <c r="E53" s="3" t="str">
        <f ca="1"/>
        <v>03/27/2026 - Immediate</v>
      </c>
      <c r="F53" s="4" t="str">
        <f ca="1"/>
        <v>N/A</v>
      </c>
      <c r="G53" s="2" t="str">
        <f ca="1"/>
        <v>Not Started</v>
      </c>
      <c r="H53" s="2" t="str">
        <f ca="1"/>
        <v>⚪ TBD</v>
      </c>
      <c r="I53" s="2" t="str">
        <f ca="1"/>
        <v>No</v>
      </c>
      <c r="J53" s="2" t="str">
        <f ca="1"/>
        <v>None</v>
      </c>
      <c r="K53" s="2" t="str">
        <f ca="1"/>
        <v>No documents available in MC</v>
      </c>
    </row>
    <row r="54" spans="1:11" x14ac:dyDescent="0.25">
      <c r="A54" s="2" t="str">
        <f ca="1"/>
        <v>Terence</v>
      </c>
      <c r="B54" s="2" t="str">
        <f ca="1"/>
        <v>PSUR144</v>
      </c>
      <c r="C54" s="2" t="str">
        <f ca="1"/>
        <v>ONETRAC &amp; ONETRAC LX</v>
      </c>
      <c r="D54" s="2" t="str">
        <f ca="1"/>
        <v>IIa</v>
      </c>
      <c r="E54" s="3" t="str">
        <f ca="1"/>
        <v>2/27/2026 - Immediate</v>
      </c>
      <c r="F54" s="4" t="str">
        <f ca="1"/>
        <v>N/A</v>
      </c>
      <c r="G54" s="2" t="str">
        <f ca="1"/>
        <v>In progress</v>
      </c>
      <c r="H54" s="2" t="str">
        <f ca="1"/>
        <v>⚪ TBD</v>
      </c>
      <c r="I54" s="2" t="str">
        <f ca="1"/>
        <v>No</v>
      </c>
      <c r="J54" s="2" t="str">
        <f ca="1"/>
        <v>None</v>
      </c>
      <c r="K54" s="2" t="str">
        <f ca="1"/>
        <v>Per Jennifer tracking file need to reach out to Nancy Lynch</v>
      </c>
    </row>
    <row r="55" spans="1:11" x14ac:dyDescent="0.25">
      <c r="A55" s="2" t="str">
        <f ca="1"/>
        <v>Terence</v>
      </c>
      <c r="B55" s="2" t="str">
        <f ca="1"/>
        <v>PSUR145</v>
      </c>
      <c r="C55" s="2" t="str">
        <f ca="1"/>
        <v>Unknown</v>
      </c>
      <c r="D55" s="2" t="str">
        <f ca="1"/>
        <v>I</v>
      </c>
      <c r="E55" s="3" t="str">
        <f ca="1"/>
        <v>2/27/2026 - Immediate</v>
      </c>
      <c r="F55" s="4" t="str">
        <f ca="1"/>
        <v>N/A</v>
      </c>
      <c r="G55" s="2" t="str">
        <f ca="1"/>
        <v>In progress</v>
      </c>
      <c r="H55" s="2" t="str">
        <f ca="1"/>
        <v>⚪ TBD</v>
      </c>
      <c r="I55" s="2" t="str">
        <f ca="1"/>
        <v>No</v>
      </c>
      <c r="J55" s="2" t="str">
        <f ca="1"/>
        <v>None</v>
      </c>
      <c r="K55" s="2" t="str">
        <f ca="1"/>
        <v>Per Jennifer tracking file need to reach out to Nancy Lynch</v>
      </c>
    </row>
    <row r="56" spans="1:11" x14ac:dyDescent="0.25">
      <c r="A56" s="2" t="str">
        <f ca="1"/>
        <v>Venkata</v>
      </c>
      <c r="B56" s="2" t="str">
        <f ca="1"/>
        <v>PSUR049</v>
      </c>
      <c r="C56" s="2" t="str">
        <f ca="1"/>
        <v>Saturn 5 Laser System</v>
      </c>
      <c r="D56" s="2" t="str">
        <f ca="1"/>
        <v>IIb</v>
      </c>
      <c r="E56" s="3">
        <f ca="1"/>
        <v>46094</v>
      </c>
      <c r="F56" s="4">
        <f ca="1"/>
        <v>-24</v>
      </c>
      <c r="G56" s="2" t="str">
        <f ca="1"/>
        <v>Not Started</v>
      </c>
      <c r="H56" s="2" t="str">
        <f ca="1"/>
        <v>🔴 OVERDUE</v>
      </c>
      <c r="I56" s="2" t="str">
        <f ca="1"/>
        <v>⚠️ YES</v>
      </c>
      <c r="J56" s="2" t="str">
        <f ca="1"/>
        <v>None</v>
      </c>
      <c r="K56" s="2" t="str">
        <f ca="1"/>
        <v>CER deadline 02 March 2026</v>
      </c>
    </row>
    <row r="57" spans="1:11" x14ac:dyDescent="0.25">
      <c r="A57" s="2" t="str">
        <f ca="1"/>
        <v>Venkata</v>
      </c>
      <c r="B57" s="2" t="str">
        <f ca="1"/>
        <v>PSUR070</v>
      </c>
      <c r="C57" s="2" t="str">
        <f ca="1"/>
        <v>Medical Heatpacks</v>
      </c>
      <c r="D57" s="2" t="str">
        <f ca="1"/>
        <v>IIa</v>
      </c>
      <c r="E57" s="3">
        <f ca="1"/>
        <v>46080</v>
      </c>
      <c r="F57" s="4">
        <f ca="1"/>
        <v>-38</v>
      </c>
      <c r="G57" s="2" t="str">
        <f ca="1"/>
        <v>In progress</v>
      </c>
      <c r="H57" s="2" t="str">
        <f ca="1"/>
        <v>🔴 OVERDUE</v>
      </c>
      <c r="I57" s="2" t="str">
        <f ca="1"/>
        <v>⚠️ YES</v>
      </c>
      <c r="J57" s="2" t="str">
        <f ca="1"/>
        <v>None</v>
      </c>
      <c r="K57" s="2" t="str">
        <f ca="1"/>
        <v>none</v>
      </c>
    </row>
    <row r="58" spans="1:11" x14ac:dyDescent="0.25">
      <c r="A58" s="2" t="str">
        <f ca="1"/>
        <v>Venkata</v>
      </c>
      <c r="B58" s="2" t="str">
        <f ca="1"/>
        <v>PSUR051</v>
      </c>
      <c r="C58" s="2" t="str">
        <f ca="1"/>
        <v>EZ-Range Pipettes</v>
      </c>
      <c r="D58" s="2" t="str">
        <f ca="1"/>
        <v>IIb</v>
      </c>
      <c r="E58" s="3">
        <f ca="1"/>
        <v>46164</v>
      </c>
      <c r="F58" s="4">
        <f ca="1"/>
        <v>46</v>
      </c>
      <c r="G58" s="2" t="str">
        <f ca="1"/>
        <v>Not Started</v>
      </c>
      <c r="H58" s="2" t="str">
        <f ca="1"/>
        <v>🟡 SOON</v>
      </c>
      <c r="I58" s="2" t="str">
        <f ca="1"/>
        <v>No</v>
      </c>
      <c r="J58" s="2" t="str">
        <f ca="1"/>
        <v>None</v>
      </c>
      <c r="K58" s="2" t="str">
        <f ca="1"/>
        <v>none</v>
      </c>
    </row>
    <row r="59" spans="1:11" x14ac:dyDescent="0.25">
      <c r="A59" s="2" t="str">
        <f ca="1"/>
        <v>Venkata</v>
      </c>
      <c r="B59" s="2" t="str">
        <f ca="1"/>
        <v>PSUR077</v>
      </c>
      <c r="C59" s="2" t="str">
        <f ca="1"/>
        <v>Wallace Oocyte Recovery/Collection Sets</v>
      </c>
      <c r="D59" s="2" t="str">
        <f ca="1"/>
        <v>IIa</v>
      </c>
      <c r="E59" s="3">
        <f ca="1"/>
        <v>46073</v>
      </c>
      <c r="F59" s="4">
        <f ca="1"/>
        <v>-45</v>
      </c>
      <c r="G59" s="2" t="str">
        <f ca="1"/>
        <v>In progress</v>
      </c>
      <c r="H59" s="2" t="str">
        <f ca="1"/>
        <v>🔴 OVERDUE</v>
      </c>
      <c r="I59" s="2" t="str">
        <f ca="1"/>
        <v>⚠️ YES</v>
      </c>
      <c r="J59" s="2" t="str">
        <f ca="1"/>
        <v>None</v>
      </c>
      <c r="K59" s="2" t="str">
        <f ca="1"/>
        <v>Routing in MC</v>
      </c>
    </row>
    <row r="60" spans="1:11" x14ac:dyDescent="0.25">
      <c r="A60" s="2" t="str">
        <f ca="1"/>
        <v>Venkata</v>
      </c>
      <c r="B60" s="2" t="str">
        <f ca="1"/>
        <v>PSUR069</v>
      </c>
      <c r="C60" s="2" t="str">
        <f ca="1"/>
        <v>Lone Star Elastic Stays</v>
      </c>
      <c r="D60" s="2" t="str">
        <f ca="1"/>
        <v>IIa</v>
      </c>
      <c r="E60" s="3">
        <f ca="1"/>
        <v>46179</v>
      </c>
      <c r="F60" s="4">
        <f ca="1"/>
        <v>61</v>
      </c>
      <c r="G60" s="2" t="str">
        <f ca="1"/>
        <v>Not Started</v>
      </c>
      <c r="H60" s="2" t="str">
        <f ca="1"/>
        <v>🟢 ON TRACK</v>
      </c>
      <c r="I60" s="2" t="str">
        <f ca="1"/>
        <v>No</v>
      </c>
      <c r="J60" s="2" t="str">
        <f ca="1"/>
        <v>None</v>
      </c>
      <c r="K60" s="2" t="str">
        <f ca="1"/>
        <v>none</v>
      </c>
    </row>
    <row r="61" spans="1:11" x14ac:dyDescent="0.25">
      <c r="A61" s="2" t="str">
        <f ca="1"/>
        <v>Venkata</v>
      </c>
      <c r="B61" s="2" t="str">
        <f ca="1"/>
        <v>PSUR082</v>
      </c>
      <c r="C61" s="2" t="str">
        <f ca="1"/>
        <v>Pessary Product Family</v>
      </c>
      <c r="D61" s="2" t="str">
        <f ca="1"/>
        <v>IIb</v>
      </c>
      <c r="E61" s="3">
        <f ca="1"/>
        <v>46076</v>
      </c>
      <c r="F61" s="4" t="str">
        <f ca="1"/>
        <v>-</v>
      </c>
      <c r="G61" s="2" t="str">
        <f ca="1"/>
        <v>Completed</v>
      </c>
      <c r="H61" s="2" t="str">
        <f ca="1"/>
        <v>✅ DONE</v>
      </c>
      <c r="I61" s="2" t="str">
        <f ca="1"/>
        <v>No</v>
      </c>
      <c r="J61" s="2" t="str">
        <f ca="1"/>
        <v>None</v>
      </c>
      <c r="K61" s="2" t="str">
        <f ca="1"/>
        <v>none</v>
      </c>
    </row>
    <row r="62" spans="1:11" x14ac:dyDescent="0.25">
      <c r="A62" s="2" t="str">
        <f ca="1"/>
        <v>Venkata</v>
      </c>
      <c r="B62" s="2" t="str">
        <f ca="1"/>
        <v>PSUR121</v>
      </c>
      <c r="C62" s="2" t="str">
        <f ca="1"/>
        <v>Disposable Vaginal Speculums</v>
      </c>
      <c r="D62" s="2" t="str">
        <f ca="1"/>
        <v>I</v>
      </c>
      <c r="E62" s="3" t="str">
        <f ca="1"/>
        <v>3/24/2026 - Immediate</v>
      </c>
      <c r="F62" s="4" t="str">
        <f ca="1"/>
        <v>N/A</v>
      </c>
      <c r="G62" s="2" t="str">
        <f ca="1"/>
        <v>Not Started</v>
      </c>
      <c r="H62" s="2" t="str">
        <f ca="1"/>
        <v>⚪ TBD</v>
      </c>
      <c r="I62" s="2" t="str">
        <f ca="1"/>
        <v>No</v>
      </c>
      <c r="J62" s="2" t="str">
        <f ca="1"/>
        <v>None</v>
      </c>
      <c r="K62" s="2" t="str">
        <f ca="1"/>
        <v>none</v>
      </c>
    </row>
    <row r="63" spans="1:11" x14ac:dyDescent="0.25">
      <c r="A63" s="2"/>
      <c r="B63" s="2"/>
      <c r="C63" s="2"/>
      <c r="D63" s="2"/>
      <c r="E63" s="3"/>
      <c r="F63" s="4"/>
      <c r="G63" s="2"/>
      <c r="H63" s="2"/>
      <c r="I63" s="2"/>
      <c r="J63" s="2"/>
      <c r="K63" s="2"/>
    </row>
    <row r="64" spans="1:11" x14ac:dyDescent="0.25">
      <c r="A64" s="2"/>
      <c r="B64" s="2"/>
      <c r="C64" s="2"/>
      <c r="D64" s="2"/>
      <c r="E64" s="3"/>
      <c r="F64" s="4"/>
      <c r="G64" s="2"/>
      <c r="H64" s="2"/>
      <c r="I64" s="2"/>
      <c r="J64" s="2"/>
      <c r="K64" s="2"/>
    </row>
    <row r="65" spans="1:11" x14ac:dyDescent="0.25">
      <c r="A65" s="2"/>
      <c r="B65" s="2"/>
      <c r="C65" s="2"/>
      <c r="D65" s="2"/>
      <c r="E65" s="3"/>
      <c r="F65" s="4"/>
      <c r="G65" s="2"/>
      <c r="H65" s="2"/>
      <c r="I65" s="2"/>
      <c r="J65" s="2"/>
      <c r="K65" s="2"/>
    </row>
    <row r="66" spans="1:11" x14ac:dyDescent="0.25">
      <c r="A66" s="2"/>
      <c r="B66" s="2"/>
      <c r="C66" s="2"/>
      <c r="D66" s="2"/>
      <c r="E66" s="3"/>
      <c r="F66" s="4"/>
      <c r="G66" s="2"/>
      <c r="H66" s="2"/>
      <c r="I66" s="2"/>
      <c r="J66" s="2"/>
      <c r="K66" s="2"/>
    </row>
    <row r="67" spans="1:11" x14ac:dyDescent="0.25">
      <c r="A67" s="2"/>
      <c r="B67" s="2"/>
      <c r="C67" s="2"/>
      <c r="D67" s="2"/>
      <c r="E67" s="3"/>
      <c r="F67" s="4"/>
      <c r="G67" s="2"/>
      <c r="H67" s="2"/>
      <c r="I67" s="2"/>
      <c r="J67" s="2"/>
      <c r="K67" s="2"/>
    </row>
    <row r="68" spans="1:11" x14ac:dyDescent="0.25">
      <c r="A68" s="2"/>
      <c r="B68" s="2"/>
      <c r="C68" s="2"/>
      <c r="D68" s="2"/>
      <c r="E68" s="3"/>
      <c r="F68" s="4"/>
      <c r="G68" s="2"/>
      <c r="H68" s="2"/>
      <c r="I68" s="2"/>
      <c r="J68" s="2"/>
      <c r="K68" s="2"/>
    </row>
    <row r="69" spans="1:11" x14ac:dyDescent="0.25">
      <c r="A69" s="2"/>
      <c r="B69" s="2"/>
      <c r="C69" s="2"/>
      <c r="D69" s="2"/>
      <c r="E69" s="3"/>
      <c r="F69" s="4"/>
      <c r="G69" s="2"/>
      <c r="H69" s="2"/>
      <c r="I69" s="2"/>
      <c r="J69" s="2"/>
      <c r="K69" s="2"/>
    </row>
    <row r="70" spans="1:11" x14ac:dyDescent="0.25">
      <c r="A70" s="2"/>
      <c r="B70" s="2"/>
      <c r="C70" s="2"/>
      <c r="D70" s="2"/>
      <c r="E70" s="3"/>
      <c r="F70" s="4"/>
      <c r="G70" s="2"/>
      <c r="H70" s="2"/>
      <c r="I70" s="2"/>
      <c r="J70" s="2"/>
      <c r="K70" s="2"/>
    </row>
    <row r="71" spans="1:11" x14ac:dyDescent="0.25">
      <c r="A71" s="2"/>
      <c r="B71" s="2"/>
      <c r="C71" s="2"/>
      <c r="D71" s="2"/>
      <c r="E71" s="3"/>
      <c r="F71" s="4"/>
      <c r="G71" s="2"/>
      <c r="H71" s="2"/>
      <c r="I71" s="2"/>
      <c r="J71" s="2"/>
      <c r="K71" s="2"/>
    </row>
    <row r="72" spans="1:11" x14ac:dyDescent="0.25">
      <c r="A72" s="2"/>
      <c r="B72" s="2"/>
      <c r="C72" s="2"/>
      <c r="D72" s="2"/>
      <c r="E72" s="3"/>
      <c r="F72" s="4"/>
      <c r="G72" s="2"/>
      <c r="H72" s="2"/>
      <c r="I72" s="2"/>
      <c r="J72" s="2"/>
      <c r="K72" s="2"/>
    </row>
    <row r="73" spans="1:11" x14ac:dyDescent="0.25">
      <c r="A73" s="2"/>
      <c r="B73" s="2"/>
      <c r="C73" s="2"/>
      <c r="D73" s="2"/>
      <c r="E73" s="3"/>
      <c r="F73" s="4"/>
      <c r="G73" s="2"/>
      <c r="H73" s="2"/>
      <c r="I73" s="2"/>
      <c r="J73" s="2"/>
      <c r="K73" s="2"/>
    </row>
    <row r="74" spans="1:11" x14ac:dyDescent="0.25">
      <c r="A74" s="2"/>
      <c r="B74" s="2"/>
      <c r="C74" s="2"/>
      <c r="D74" s="2"/>
      <c r="E74" s="3"/>
      <c r="F74" s="4"/>
      <c r="G74" s="2"/>
      <c r="H74" s="2"/>
      <c r="I74" s="2"/>
      <c r="J74" s="2"/>
      <c r="K74" s="2"/>
    </row>
    <row r="75" spans="1:11" x14ac:dyDescent="0.25">
      <c r="A75" s="2"/>
      <c r="B75" s="2"/>
      <c r="C75" s="2"/>
      <c r="D75" s="2"/>
      <c r="E75" s="3"/>
      <c r="F75" s="4"/>
      <c r="G75" s="2"/>
      <c r="H75" s="2"/>
      <c r="I75" s="2"/>
      <c r="J75" s="2"/>
      <c r="K75" s="2"/>
    </row>
    <row r="76" spans="1:11" x14ac:dyDescent="0.25">
      <c r="A76" s="2"/>
      <c r="B76" s="2"/>
      <c r="C76" s="2"/>
      <c r="D76" s="2"/>
      <c r="E76" s="3"/>
      <c r="F76" s="4"/>
      <c r="G76" s="2"/>
      <c r="H76" s="2"/>
      <c r="I76" s="2"/>
      <c r="J76" s="2"/>
      <c r="K76" s="2"/>
    </row>
    <row r="77" spans="1:11" x14ac:dyDescent="0.25">
      <c r="A77" s="2"/>
      <c r="B77" s="2"/>
      <c r="C77" s="2"/>
      <c r="D77" s="2"/>
      <c r="E77" s="3"/>
      <c r="F77" s="4"/>
      <c r="G77" s="2"/>
      <c r="H77" s="2"/>
      <c r="I77" s="2"/>
      <c r="J77" s="2"/>
      <c r="K77" s="2"/>
    </row>
    <row r="78" spans="1:11" x14ac:dyDescent="0.25">
      <c r="A78" s="2"/>
      <c r="B78" s="2"/>
      <c r="C78" s="2"/>
      <c r="D78" s="2"/>
      <c r="E78" s="3"/>
      <c r="F78" s="4"/>
      <c r="G78" s="2"/>
      <c r="H78" s="2"/>
      <c r="I78" s="2"/>
      <c r="J78" s="2"/>
      <c r="K78" s="2"/>
    </row>
    <row r="79" spans="1:11" x14ac:dyDescent="0.25">
      <c r="A79" s="2"/>
      <c r="B79" s="2"/>
      <c r="C79" s="2"/>
      <c r="D79" s="2"/>
      <c r="E79" s="3"/>
      <c r="F79" s="4"/>
      <c r="G79" s="2"/>
      <c r="H79" s="2"/>
      <c r="I79" s="2"/>
      <c r="J79" s="2"/>
      <c r="K79" s="2"/>
    </row>
    <row r="80" spans="1:11" x14ac:dyDescent="0.25">
      <c r="A80" s="2"/>
      <c r="B80" s="2"/>
      <c r="C80" s="2"/>
      <c r="D80" s="2"/>
      <c r="E80" s="3"/>
      <c r="F80" s="4"/>
      <c r="G80" s="2"/>
      <c r="H80" s="2"/>
      <c r="I80" s="2"/>
      <c r="J80" s="2"/>
      <c r="K80" s="2"/>
    </row>
    <row r="81" spans="1:11" x14ac:dyDescent="0.25">
      <c r="A81" s="2"/>
      <c r="B81" s="2"/>
      <c r="C81" s="2"/>
      <c r="D81" s="2"/>
      <c r="E81" s="3"/>
      <c r="F81" s="4"/>
      <c r="G81" s="2"/>
      <c r="H81" s="2"/>
      <c r="I81" s="2"/>
      <c r="J81" s="2"/>
      <c r="K81" s="2"/>
    </row>
    <row r="82" spans="1:11" x14ac:dyDescent="0.25">
      <c r="A82" s="2"/>
      <c r="B82" s="2"/>
      <c r="C82" s="2"/>
      <c r="D82" s="2"/>
      <c r="E82" s="3"/>
      <c r="F82" s="4"/>
      <c r="G82" s="2"/>
      <c r="H82" s="2"/>
      <c r="I82" s="2"/>
      <c r="J82" s="2"/>
      <c r="K82" s="2"/>
    </row>
    <row r="83" spans="1:11" x14ac:dyDescent="0.25">
      <c r="A83" s="2"/>
      <c r="B83" s="2"/>
      <c r="C83" s="2"/>
      <c r="D83" s="2"/>
      <c r="E83" s="3"/>
      <c r="F83" s="4"/>
      <c r="G83" s="2"/>
      <c r="H83" s="2"/>
      <c r="I83" s="2"/>
      <c r="J83" s="2"/>
      <c r="K83" s="2"/>
    </row>
    <row r="84" spans="1:11" x14ac:dyDescent="0.25">
      <c r="A84" s="2"/>
      <c r="B84" s="2"/>
      <c r="C84" s="2"/>
      <c r="D84" s="2"/>
      <c r="E84" s="3"/>
      <c r="F84" s="4"/>
      <c r="G84" s="2"/>
      <c r="H84" s="2"/>
      <c r="I84" s="2"/>
      <c r="J84" s="2"/>
      <c r="K84" s="2"/>
    </row>
    <row r="85" spans="1:11" x14ac:dyDescent="0.25">
      <c r="A85" s="2"/>
      <c r="B85" s="2"/>
      <c r="C85" s="2"/>
      <c r="D85" s="2"/>
      <c r="E85" s="3"/>
      <c r="F85" s="4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3"/>
      <c r="F86" s="4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3"/>
      <c r="F87" s="4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3"/>
      <c r="F88" s="4"/>
      <c r="G88" s="2"/>
      <c r="H88" s="2"/>
      <c r="I88" s="2"/>
      <c r="J88" s="2"/>
      <c r="K88" s="2"/>
    </row>
  </sheetData>
  <mergeCells count="2">
    <mergeCell ref="A1:K1"/>
    <mergeCell ref="A10:K10"/>
  </mergeCells>
  <conditionalFormatting sqref="F12:F90">
    <cfRule type="dataBar" priority="6">
      <dataBar>
        <cfvo type="min"/>
        <cfvo type="max"/>
        <color rgb="FF4F81BD"/>
      </dataBar>
      <extLst>
        <ext xmlns:x14="http://schemas.microsoft.com/office/spreadsheetml/2009/9/main" uri="{B025F937-C7B1-47D3-B67F-A62EFF666E3E}">
          <x14:id>{59591A2B-9522-49FC-8003-6F9C52066C49}</x14:id>
        </ext>
      </extLst>
    </cfRule>
  </conditionalFormatting>
  <conditionalFormatting sqref="G12:G90">
    <cfRule type="containsText" dxfId="13" priority="1" operator="containsText" text="Completed">
      <formula>NOT(ISERROR(SEARCH("Completed",G12)))</formula>
    </cfRule>
    <cfRule type="containsText" dxfId="12" priority="2" operator="containsText" text="Not Started">
      <formula>NOT(ISERROR(SEARCH("Not Started",G12)))</formula>
    </cfRule>
    <cfRule type="containsText" dxfId="11" priority="3" operator="containsText" text="In progress">
      <formula>NOT(ISERROR(SEARCH("In progress",G12)))</formula>
    </cfRule>
  </conditionalFormatting>
  <conditionalFormatting sqref="H12:H90">
    <cfRule type="containsText" dxfId="10" priority="4" operator="containsText" text="OVERDUE">
      <formula>NOT(ISERROR(SEARCH("OVERDUE",H12)))</formula>
    </cfRule>
    <cfRule type="containsText" dxfId="9" priority="5" operator="containsText" text="URGENT">
      <formula>NOT(ISERROR(SEARCH("URGENT",H12)))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91A2B-9522-49FC-8003-6F9C52066C49}">
            <x14:dataBar minLength="0" maxLength="100" axisPosition="none">
              <x14:cfvo type="min"/>
              <x14:cfvo type="max"/>
              <x14:negativeFillColor rgb="FFFF0000"/>
            </x14:dataBar>
          </x14:cfRule>
          <xm:sqref>F12:F90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37DE8-1799-489E-9897-C442A7427478}">
  <dimension ref="A1:R81"/>
  <sheetViews>
    <sheetView workbookViewId="0">
      <pane xSplit="4" ySplit="2" topLeftCell="E72" activePane="bottomRight" state="frozen"/>
      <selection pane="topRight" activeCell="E1" sqref="E1"/>
      <selection pane="bottomLeft" activeCell="A3" sqref="A3"/>
      <selection pane="bottomRight" activeCell="A19" sqref="A19"/>
    </sheetView>
  </sheetViews>
  <sheetFormatPr defaultRowHeight="15.75" x14ac:dyDescent="0.25"/>
  <cols>
    <col min="1" max="1" width="14.125" customWidth="1"/>
    <col min="2" max="2" width="11.625" customWidth="1"/>
    <col min="3" max="4" width="13.375" customWidth="1"/>
    <col min="5" max="7" width="6.625" customWidth="1"/>
    <col min="8" max="8" width="9.375" bestFit="1" customWidth="1"/>
    <col min="9" max="17" width="6.625" customWidth="1"/>
    <col min="18" max="18" width="11.625" customWidth="1"/>
  </cols>
  <sheetData>
    <row r="1" spans="1:18" ht="39.950000000000003" customHeight="1" x14ac:dyDescent="0.4">
      <c r="A1" s="164" t="s">
        <v>427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</row>
    <row r="2" spans="1:18" x14ac:dyDescent="0.25">
      <c r="A2" s="30" t="s">
        <v>425</v>
      </c>
      <c r="B2" s="30" t="s">
        <v>233</v>
      </c>
      <c r="C2" s="30" t="s">
        <v>10</v>
      </c>
      <c r="D2" s="30" t="s">
        <v>9</v>
      </c>
      <c r="E2" s="31" t="s">
        <v>428</v>
      </c>
      <c r="F2" s="31" t="s">
        <v>429</v>
      </c>
      <c r="G2" s="32" t="s">
        <v>430</v>
      </c>
      <c r="H2" s="32" t="s">
        <v>431</v>
      </c>
      <c r="I2" s="31" t="s">
        <v>432</v>
      </c>
      <c r="J2" s="31" t="s">
        <v>433</v>
      </c>
      <c r="K2" s="32" t="s">
        <v>434</v>
      </c>
      <c r="L2" s="32" t="s">
        <v>435</v>
      </c>
      <c r="M2" s="31" t="s">
        <v>436</v>
      </c>
      <c r="N2" s="31" t="s">
        <v>437</v>
      </c>
      <c r="O2" s="32" t="s">
        <v>438</v>
      </c>
      <c r="P2" s="32" t="s">
        <v>439</v>
      </c>
      <c r="Q2" s="33" t="s">
        <v>440</v>
      </c>
      <c r="R2" s="34" t="s">
        <v>426</v>
      </c>
    </row>
    <row r="3" spans="1:18" ht="15.95" customHeight="1" x14ac:dyDescent="0.25">
      <c r="A3" s="38" t="str">
        <f>'Maintenance PSURs'!C2</f>
        <v>PMS002R</v>
      </c>
      <c r="B3" s="38" t="str">
        <f>'Maintenance PSURs'!L2</f>
        <v>Terence</v>
      </c>
      <c r="C3" s="38" t="str">
        <f>'Maintenance PSURs'!K2</f>
        <v>In progress</v>
      </c>
      <c r="D3" s="39">
        <f>'Maintenance PSURs'!J2</f>
        <v>46113</v>
      </c>
      <c r="E3" s="38" t="str">
        <f t="shared" ref="E3:E66" si="0">IF(AND(ISNUMBER($D3),$D3&gt;=DATE(2026,1,1),$D3&lt;=DATE(2026,1,15)),"█","")</f>
        <v/>
      </c>
      <c r="F3" s="38" t="str">
        <f t="shared" ref="F3:F66" si="1">IF(AND(ISNUMBER($D3),$D3&gt;=DATE(2026,1,16),$D3&lt;=DATE(2026,1,31)),"█","")</f>
        <v/>
      </c>
      <c r="G3" s="38" t="str">
        <f t="shared" ref="G3:G66" si="2">IF(AND(ISNUMBER($D3),$D3&gt;=DATE(2026,2,1),$D3&lt;=DATE(2026,2,14)),"█","")</f>
        <v/>
      </c>
      <c r="H3" s="38" t="str">
        <f t="shared" ref="H3:H66" si="3">IF(AND(ISNUMBER($D3),$D3&gt;=DATE(2026,2,15),$D3&lt;=DATE(2026,2,28)),"█","")</f>
        <v/>
      </c>
      <c r="I3" s="38" t="str">
        <f t="shared" ref="I3:I66" si="4">IF(AND(ISNUMBER($D3),$D3&gt;=DATE(2026,3,1),$D3&lt;=DATE(2026,3,15)),"█","")</f>
        <v/>
      </c>
      <c r="J3" s="38" t="str">
        <f t="shared" ref="J3:J66" si="5">IF(AND(ISNUMBER($D3),$D3&gt;=DATE(2026,3,16),$D3&lt;=DATE(2026,3,31)),"█","")</f>
        <v/>
      </c>
      <c r="K3" s="38" t="str">
        <f t="shared" ref="K3:K66" si="6">IF(AND(ISNUMBER($D3),$D3&gt;=DATE(2026,4,1),$D3&lt;=DATE(2026,4,15)),"█","")</f>
        <v>█</v>
      </c>
      <c r="L3" s="38" t="str">
        <f t="shared" ref="L3:L66" si="7">IF(AND(ISNUMBER($D3),$D3&gt;=DATE(2026,4,16),$D3&lt;=DATE(2026,4,30)),"█","")</f>
        <v/>
      </c>
      <c r="M3" s="38" t="str">
        <f t="shared" ref="M3:M66" si="8">IF(AND(ISNUMBER($D3),$D3&gt;=DATE(2026,5,1),$D3&lt;=DATE(2026,5,15)),"█","")</f>
        <v/>
      </c>
      <c r="N3" s="38" t="str">
        <f t="shared" ref="N3:N66" si="9">IF(AND(ISNUMBER($D3),$D3&gt;=DATE(2026,5,16),$D3&lt;=DATE(2026,5,31)),"█","")</f>
        <v/>
      </c>
      <c r="O3" s="38" t="str">
        <f t="shared" ref="O3:O66" si="10">IF(AND(ISNUMBER($D3),$D3&gt;=DATE(2026,6,1),$D3&lt;=DATE(2026,6,15)),"█","")</f>
        <v/>
      </c>
      <c r="P3" s="38" t="str">
        <f t="shared" ref="P3:P66" si="11">IF(AND(ISNUMBER($D3),$D3&gt;=DATE(2026,6,16),$D3&lt;=DATE(2026,6,30)),"█","")</f>
        <v/>
      </c>
      <c r="Q3" s="38" t="str">
        <f t="shared" ref="Q3:Q66" si="12">IF(AND(ISNUMBER($D3),$D3&gt;DATE(2026,6,30)),"█","")</f>
        <v/>
      </c>
      <c r="R3" s="40">
        <f ca="1">'Maintenance PSURs'!O2</f>
        <v>-5</v>
      </c>
    </row>
    <row r="4" spans="1:18" ht="15.95" customHeight="1" x14ac:dyDescent="0.25">
      <c r="A4" s="35" t="str">
        <f>'Maintenance PSURs'!C3</f>
        <v>PMS003R</v>
      </c>
      <c r="B4" s="35" t="str">
        <f>'Maintenance PSURs'!L3</f>
        <v>Terence</v>
      </c>
      <c r="C4" s="35" t="str">
        <f>'Maintenance PSURs'!K3</f>
        <v>In Review</v>
      </c>
      <c r="D4" s="36" t="str">
        <f>'Maintenance PSURs'!J3</f>
        <v>2026-01-15</v>
      </c>
      <c r="E4" s="35" t="str">
        <f t="shared" si="0"/>
        <v/>
      </c>
      <c r="F4" s="35" t="str">
        <f t="shared" si="1"/>
        <v/>
      </c>
      <c r="G4" s="35" t="str">
        <f t="shared" si="2"/>
        <v/>
      </c>
      <c r="H4" s="35" t="str">
        <f t="shared" si="3"/>
        <v/>
      </c>
      <c r="I4" s="35" t="str">
        <f t="shared" si="4"/>
        <v/>
      </c>
      <c r="J4" s="35" t="str">
        <f t="shared" si="5"/>
        <v/>
      </c>
      <c r="K4" s="35" t="str">
        <f t="shared" si="6"/>
        <v/>
      </c>
      <c r="L4" s="35" t="str">
        <f t="shared" si="7"/>
        <v/>
      </c>
      <c r="M4" s="35" t="str">
        <f t="shared" si="8"/>
        <v/>
      </c>
      <c r="N4" s="35" t="str">
        <f t="shared" si="9"/>
        <v/>
      </c>
      <c r="O4" s="35" t="str">
        <f t="shared" si="10"/>
        <v/>
      </c>
      <c r="P4" s="35" t="str">
        <f t="shared" si="11"/>
        <v/>
      </c>
      <c r="Q4" s="35" t="str">
        <f t="shared" si="12"/>
        <v/>
      </c>
      <c r="R4" s="37" t="str">
        <f ca="1">'Maintenance PSURs'!O3</f>
        <v>N/A</v>
      </c>
    </row>
    <row r="5" spans="1:18" ht="15.95" customHeight="1" x14ac:dyDescent="0.25">
      <c r="A5" s="38" t="str">
        <f>'Maintenance PSURs'!C4</f>
        <v>PSUR007</v>
      </c>
      <c r="B5" s="38" t="str">
        <f>'Maintenance PSURs'!L4</f>
        <v>TBD</v>
      </c>
      <c r="C5" s="38" t="str">
        <f>'Maintenance PSURs'!K4</f>
        <v>In progress</v>
      </c>
      <c r="D5" s="39">
        <f>'Maintenance PSURs'!J4</f>
        <v>46073</v>
      </c>
      <c r="E5" s="38" t="str">
        <f t="shared" si="0"/>
        <v/>
      </c>
      <c r="F5" s="38" t="str">
        <f t="shared" si="1"/>
        <v/>
      </c>
      <c r="G5" s="38" t="str">
        <f t="shared" si="2"/>
        <v/>
      </c>
      <c r="H5" s="38" t="str">
        <f t="shared" si="3"/>
        <v>█</v>
      </c>
      <c r="I5" s="38" t="str">
        <f t="shared" si="4"/>
        <v/>
      </c>
      <c r="J5" s="38" t="str">
        <f t="shared" si="5"/>
        <v/>
      </c>
      <c r="K5" s="38" t="str">
        <f t="shared" si="6"/>
        <v/>
      </c>
      <c r="L5" s="38" t="str">
        <f t="shared" si="7"/>
        <v/>
      </c>
      <c r="M5" s="38" t="str">
        <f t="shared" si="8"/>
        <v/>
      </c>
      <c r="N5" s="38" t="str">
        <f t="shared" si="9"/>
        <v/>
      </c>
      <c r="O5" s="38" t="str">
        <f t="shared" si="10"/>
        <v/>
      </c>
      <c r="P5" s="38" t="str">
        <f t="shared" si="11"/>
        <v/>
      </c>
      <c r="Q5" s="38" t="str">
        <f t="shared" si="12"/>
        <v/>
      </c>
      <c r="R5" s="40">
        <f ca="1">'Maintenance PSURs'!O4</f>
        <v>-45</v>
      </c>
    </row>
    <row r="6" spans="1:18" ht="15.95" customHeight="1" x14ac:dyDescent="0.25">
      <c r="A6" s="35" t="e">
        <f>'Maintenance PSURs'!#REF!</f>
        <v>#REF!</v>
      </c>
      <c r="B6" s="35" t="e">
        <f>'Maintenance PSURs'!#REF!</f>
        <v>#REF!</v>
      </c>
      <c r="C6" s="35" t="e">
        <f>'Maintenance PSURs'!#REF!</f>
        <v>#REF!</v>
      </c>
      <c r="D6" s="36" t="e">
        <f>'Maintenance PSURs'!#REF!</f>
        <v>#REF!</v>
      </c>
      <c r="E6" s="35" t="e">
        <f t="shared" si="0"/>
        <v>#REF!</v>
      </c>
      <c r="F6" s="35" t="e">
        <f t="shared" si="1"/>
        <v>#REF!</v>
      </c>
      <c r="G6" s="35" t="e">
        <f t="shared" si="2"/>
        <v>#REF!</v>
      </c>
      <c r="H6" s="35" t="e">
        <f t="shared" si="3"/>
        <v>#REF!</v>
      </c>
      <c r="I6" s="35" t="e">
        <f t="shared" si="4"/>
        <v>#REF!</v>
      </c>
      <c r="J6" s="35" t="e">
        <f t="shared" si="5"/>
        <v>#REF!</v>
      </c>
      <c r="K6" s="35" t="e">
        <f t="shared" si="6"/>
        <v>#REF!</v>
      </c>
      <c r="L6" s="35" t="e">
        <f t="shared" si="7"/>
        <v>#REF!</v>
      </c>
      <c r="M6" s="35" t="e">
        <f t="shared" si="8"/>
        <v>#REF!</v>
      </c>
      <c r="N6" s="35" t="e">
        <f t="shared" si="9"/>
        <v>#REF!</v>
      </c>
      <c r="O6" s="35" t="e">
        <f t="shared" si="10"/>
        <v>#REF!</v>
      </c>
      <c r="P6" s="35" t="e">
        <f t="shared" si="11"/>
        <v>#REF!</v>
      </c>
      <c r="Q6" s="35" t="e">
        <f t="shared" si="12"/>
        <v>#REF!</v>
      </c>
      <c r="R6" s="37" t="e">
        <f>'Maintenance PSURs'!#REF!</f>
        <v>#REF!</v>
      </c>
    </row>
    <row r="7" spans="1:18" ht="15.95" customHeight="1" x14ac:dyDescent="0.25">
      <c r="A7" s="38" t="str">
        <f>'Maintenance PSURs'!C5</f>
        <v>PMS007R</v>
      </c>
      <c r="B7" s="38" t="str">
        <f>'Maintenance PSURs'!L5</f>
        <v>TBD</v>
      </c>
      <c r="C7" s="38" t="str">
        <f>'Maintenance PSURs'!K5</f>
        <v>Not Started</v>
      </c>
      <c r="D7" s="39">
        <f>'Maintenance PSURs'!J5</f>
        <v>0</v>
      </c>
      <c r="E7" s="38" t="str">
        <f t="shared" si="0"/>
        <v/>
      </c>
      <c r="F7" s="38" t="str">
        <f t="shared" si="1"/>
        <v/>
      </c>
      <c r="G7" s="38" t="str">
        <f t="shared" si="2"/>
        <v/>
      </c>
      <c r="H7" s="38" t="str">
        <f t="shared" si="3"/>
        <v/>
      </c>
      <c r="I7" s="38" t="str">
        <f t="shared" si="4"/>
        <v/>
      </c>
      <c r="J7" s="38" t="str">
        <f t="shared" si="5"/>
        <v/>
      </c>
      <c r="K7" s="38" t="str">
        <f t="shared" si="6"/>
        <v/>
      </c>
      <c r="L7" s="38" t="str">
        <f t="shared" si="7"/>
        <v/>
      </c>
      <c r="M7" s="38" t="str">
        <f t="shared" si="8"/>
        <v/>
      </c>
      <c r="N7" s="38" t="str">
        <f t="shared" si="9"/>
        <v/>
      </c>
      <c r="O7" s="38" t="str">
        <f t="shared" si="10"/>
        <v/>
      </c>
      <c r="P7" s="38" t="str">
        <f t="shared" si="11"/>
        <v/>
      </c>
      <c r="Q7" s="38" t="str">
        <f t="shared" si="12"/>
        <v/>
      </c>
      <c r="R7" s="40" t="str">
        <f ca="1">'Maintenance PSURs'!O5</f>
        <v>N/A</v>
      </c>
    </row>
    <row r="8" spans="1:18" ht="15.95" customHeight="1" x14ac:dyDescent="0.25">
      <c r="A8" s="35" t="str">
        <f>'Maintenance PSURs'!C6</f>
        <v>PMS008R</v>
      </c>
      <c r="B8" s="35" t="str">
        <f>'Maintenance PSURs'!L6</f>
        <v>Terence</v>
      </c>
      <c r="C8" s="35" t="str">
        <f>'Maintenance PSURs'!K6</f>
        <v>Completed</v>
      </c>
      <c r="D8" s="36" t="str">
        <f>'Maintenance PSURs'!J6</f>
        <v>2026-03-01</v>
      </c>
      <c r="E8" s="35" t="str">
        <f t="shared" si="0"/>
        <v/>
      </c>
      <c r="F8" s="35" t="str">
        <f t="shared" si="1"/>
        <v/>
      </c>
      <c r="G8" s="35" t="str">
        <f t="shared" si="2"/>
        <v/>
      </c>
      <c r="H8" s="35" t="str">
        <f t="shared" si="3"/>
        <v/>
      </c>
      <c r="I8" s="35" t="str">
        <f t="shared" si="4"/>
        <v/>
      </c>
      <c r="J8" s="35" t="str">
        <f t="shared" si="5"/>
        <v/>
      </c>
      <c r="K8" s="35" t="str">
        <f t="shared" si="6"/>
        <v/>
      </c>
      <c r="L8" s="35" t="str">
        <f t="shared" si="7"/>
        <v/>
      </c>
      <c r="M8" s="35" t="str">
        <f t="shared" si="8"/>
        <v/>
      </c>
      <c r="N8" s="35" t="str">
        <f t="shared" si="9"/>
        <v/>
      </c>
      <c r="O8" s="35" t="str">
        <f t="shared" si="10"/>
        <v/>
      </c>
      <c r="P8" s="35" t="str">
        <f t="shared" si="11"/>
        <v/>
      </c>
      <c r="Q8" s="35" t="str">
        <f t="shared" si="12"/>
        <v/>
      </c>
      <c r="R8" s="37" t="str">
        <f ca="1">'Maintenance PSURs'!O6</f>
        <v>-</v>
      </c>
    </row>
    <row r="9" spans="1:18" ht="15.95" customHeight="1" x14ac:dyDescent="0.25">
      <c r="A9" s="38" t="str">
        <f>'Maintenance PSURs'!C7</f>
        <v>PMS009R</v>
      </c>
      <c r="B9" s="38" t="str">
        <f>'Maintenance PSURs'!L7</f>
        <v>Terence</v>
      </c>
      <c r="C9" s="38" t="str">
        <f>'Maintenance PSURs'!K7</f>
        <v>In Review</v>
      </c>
      <c r="D9" s="39">
        <f>'Maintenance PSURs'!J7</f>
        <v>0</v>
      </c>
      <c r="E9" s="38" t="str">
        <f t="shared" si="0"/>
        <v/>
      </c>
      <c r="F9" s="38" t="str">
        <f t="shared" si="1"/>
        <v/>
      </c>
      <c r="G9" s="38" t="str">
        <f t="shared" si="2"/>
        <v/>
      </c>
      <c r="H9" s="38" t="str">
        <f t="shared" si="3"/>
        <v/>
      </c>
      <c r="I9" s="38" t="str">
        <f t="shared" si="4"/>
        <v/>
      </c>
      <c r="J9" s="38" t="str">
        <f t="shared" si="5"/>
        <v/>
      </c>
      <c r="K9" s="38" t="str">
        <f t="shared" si="6"/>
        <v/>
      </c>
      <c r="L9" s="38" t="str">
        <f t="shared" si="7"/>
        <v/>
      </c>
      <c r="M9" s="38" t="str">
        <f t="shared" si="8"/>
        <v/>
      </c>
      <c r="N9" s="38" t="str">
        <f t="shared" si="9"/>
        <v/>
      </c>
      <c r="O9" s="38" t="str">
        <f t="shared" si="10"/>
        <v/>
      </c>
      <c r="P9" s="38" t="str">
        <f t="shared" si="11"/>
        <v/>
      </c>
      <c r="Q9" s="38" t="str">
        <f t="shared" si="12"/>
        <v/>
      </c>
      <c r="R9" s="40" t="str">
        <f ca="1">'Maintenance PSURs'!O7</f>
        <v>N/A</v>
      </c>
    </row>
    <row r="10" spans="1:18" ht="15.95" customHeight="1" x14ac:dyDescent="0.25">
      <c r="A10" s="35" t="str">
        <f>'Maintenance PSURs'!C8</f>
        <v>PMS062R</v>
      </c>
      <c r="B10" s="35" t="str">
        <f>'Maintenance PSURs'!L8</f>
        <v>TBD</v>
      </c>
      <c r="C10" s="35" t="str">
        <f>'Maintenance PSURs'!K8</f>
        <v>Not Started</v>
      </c>
      <c r="D10" s="36" t="str">
        <f>'Maintenance PSURs'!J8</f>
        <v>Immediate</v>
      </c>
      <c r="E10" s="35" t="str">
        <f t="shared" si="0"/>
        <v/>
      </c>
      <c r="F10" s="35" t="str">
        <f t="shared" si="1"/>
        <v/>
      </c>
      <c r="G10" s="35" t="str">
        <f t="shared" si="2"/>
        <v/>
      </c>
      <c r="H10" s="35" t="str">
        <f t="shared" si="3"/>
        <v/>
      </c>
      <c r="I10" s="35" t="str">
        <f t="shared" si="4"/>
        <v/>
      </c>
      <c r="J10" s="35" t="str">
        <f t="shared" si="5"/>
        <v/>
      </c>
      <c r="K10" s="35" t="str">
        <f t="shared" si="6"/>
        <v/>
      </c>
      <c r="L10" s="35" t="str">
        <f t="shared" si="7"/>
        <v/>
      </c>
      <c r="M10" s="35" t="str">
        <f t="shared" si="8"/>
        <v/>
      </c>
      <c r="N10" s="35" t="str">
        <f t="shared" si="9"/>
        <v/>
      </c>
      <c r="O10" s="35" t="str">
        <f t="shared" si="10"/>
        <v/>
      </c>
      <c r="P10" s="35" t="str">
        <f t="shared" si="11"/>
        <v/>
      </c>
      <c r="Q10" s="35" t="str">
        <f t="shared" si="12"/>
        <v/>
      </c>
      <c r="R10" s="37" t="str">
        <f ca="1">'Maintenance PSURs'!O8</f>
        <v>N/A</v>
      </c>
    </row>
    <row r="11" spans="1:18" ht="15.95" customHeight="1" x14ac:dyDescent="0.25">
      <c r="A11" s="38" t="str">
        <f>'Maintenance PSURs'!C9</f>
        <v>PMS123R</v>
      </c>
      <c r="B11" s="38" t="str">
        <f>'Maintenance PSURs'!L9</f>
        <v>TBD</v>
      </c>
      <c r="C11" s="38" t="str">
        <f>'Maintenance PSURs'!K9</f>
        <v>Not Started</v>
      </c>
      <c r="D11" s="39">
        <f>'Maintenance PSURs'!J9</f>
        <v>0</v>
      </c>
      <c r="E11" s="38" t="str">
        <f t="shared" si="0"/>
        <v/>
      </c>
      <c r="F11" s="38" t="str">
        <f t="shared" si="1"/>
        <v/>
      </c>
      <c r="G11" s="38" t="str">
        <f t="shared" si="2"/>
        <v/>
      </c>
      <c r="H11" s="38" t="str">
        <f t="shared" si="3"/>
        <v/>
      </c>
      <c r="I11" s="38" t="str">
        <f t="shared" si="4"/>
        <v/>
      </c>
      <c r="J11" s="38" t="str">
        <f t="shared" si="5"/>
        <v/>
      </c>
      <c r="K11" s="38" t="str">
        <f t="shared" si="6"/>
        <v/>
      </c>
      <c r="L11" s="38" t="str">
        <f t="shared" si="7"/>
        <v/>
      </c>
      <c r="M11" s="38" t="str">
        <f t="shared" si="8"/>
        <v/>
      </c>
      <c r="N11" s="38" t="str">
        <f t="shared" si="9"/>
        <v/>
      </c>
      <c r="O11" s="38" t="str">
        <f t="shared" si="10"/>
        <v/>
      </c>
      <c r="P11" s="38" t="str">
        <f t="shared" si="11"/>
        <v/>
      </c>
      <c r="Q11" s="38" t="str">
        <f t="shared" si="12"/>
        <v/>
      </c>
      <c r="R11" s="40" t="str">
        <f ca="1">'Maintenance PSURs'!O9</f>
        <v>N/A</v>
      </c>
    </row>
    <row r="12" spans="1:18" ht="15.95" customHeight="1" x14ac:dyDescent="0.25">
      <c r="A12" s="35" t="str">
        <f>'Maintenance PSURs'!C10</f>
        <v>PMS124R</v>
      </c>
      <c r="B12" s="35" t="str">
        <f>'Maintenance PSURs'!L10</f>
        <v>TBD</v>
      </c>
      <c r="C12" s="35" t="str">
        <f>'Maintenance PSURs'!K10</f>
        <v>Not Started</v>
      </c>
      <c r="D12" s="36">
        <f>'Maintenance PSURs'!J10</f>
        <v>0</v>
      </c>
      <c r="E12" s="35" t="str">
        <f t="shared" si="0"/>
        <v/>
      </c>
      <c r="F12" s="35" t="str">
        <f t="shared" si="1"/>
        <v/>
      </c>
      <c r="G12" s="35" t="str">
        <f t="shared" si="2"/>
        <v/>
      </c>
      <c r="H12" s="35" t="str">
        <f t="shared" si="3"/>
        <v/>
      </c>
      <c r="I12" s="35" t="str">
        <f t="shared" si="4"/>
        <v/>
      </c>
      <c r="J12" s="35" t="str">
        <f t="shared" si="5"/>
        <v/>
      </c>
      <c r="K12" s="35" t="str">
        <f t="shared" si="6"/>
        <v/>
      </c>
      <c r="L12" s="35" t="str">
        <f t="shared" si="7"/>
        <v/>
      </c>
      <c r="M12" s="35" t="str">
        <f t="shared" si="8"/>
        <v/>
      </c>
      <c r="N12" s="35" t="str">
        <f t="shared" si="9"/>
        <v/>
      </c>
      <c r="O12" s="35" t="str">
        <f t="shared" si="10"/>
        <v/>
      </c>
      <c r="P12" s="35" t="str">
        <f t="shared" si="11"/>
        <v/>
      </c>
      <c r="Q12" s="35" t="str">
        <f t="shared" si="12"/>
        <v/>
      </c>
      <c r="R12" s="37" t="str">
        <f ca="1">'Maintenance PSURs'!O10</f>
        <v>N/A</v>
      </c>
    </row>
    <row r="13" spans="1:18" ht="15.95" customHeight="1" x14ac:dyDescent="0.25">
      <c r="A13" s="38" t="str">
        <f>'Maintenance PSURs'!C11</f>
        <v>PMS125R</v>
      </c>
      <c r="B13" s="38" t="str">
        <f>'Maintenance PSURs'!L11</f>
        <v>TBD</v>
      </c>
      <c r="C13" s="38" t="str">
        <f>'Maintenance PSURs'!K11</f>
        <v>Not Started</v>
      </c>
      <c r="D13" s="39">
        <f>'Maintenance PSURs'!J11</f>
        <v>0</v>
      </c>
      <c r="E13" s="38" t="str">
        <f t="shared" si="0"/>
        <v/>
      </c>
      <c r="F13" s="38" t="str">
        <f t="shared" si="1"/>
        <v/>
      </c>
      <c r="G13" s="38" t="str">
        <f t="shared" si="2"/>
        <v/>
      </c>
      <c r="H13" s="38" t="str">
        <f t="shared" si="3"/>
        <v/>
      </c>
      <c r="I13" s="38" t="str">
        <f t="shared" si="4"/>
        <v/>
      </c>
      <c r="J13" s="38" t="str">
        <f t="shared" si="5"/>
        <v/>
      </c>
      <c r="K13" s="38" t="str">
        <f t="shared" si="6"/>
        <v/>
      </c>
      <c r="L13" s="38" t="str">
        <f t="shared" si="7"/>
        <v/>
      </c>
      <c r="M13" s="38" t="str">
        <f t="shared" si="8"/>
        <v/>
      </c>
      <c r="N13" s="38" t="str">
        <f t="shared" si="9"/>
        <v/>
      </c>
      <c r="O13" s="38" t="str">
        <f t="shared" si="10"/>
        <v/>
      </c>
      <c r="P13" s="38" t="str">
        <f t="shared" si="11"/>
        <v/>
      </c>
      <c r="Q13" s="38" t="str">
        <f t="shared" si="12"/>
        <v/>
      </c>
      <c r="R13" s="40" t="str">
        <f ca="1">'Maintenance PSURs'!O11</f>
        <v>N/A</v>
      </c>
    </row>
    <row r="14" spans="1:18" ht="15.95" customHeight="1" x14ac:dyDescent="0.25">
      <c r="A14" s="35" t="str">
        <f>'Maintenance PSURs'!C12</f>
        <v>PMSR017</v>
      </c>
      <c r="B14" s="35" t="str">
        <f>'Maintenance PSURs'!L12</f>
        <v>Terence</v>
      </c>
      <c r="C14" s="35" t="str">
        <f>'Maintenance PSURs'!K12</f>
        <v>In Review</v>
      </c>
      <c r="D14" s="36" t="str">
        <f>'Maintenance PSURs'!J12</f>
        <v>2026-01-23</v>
      </c>
      <c r="E14" s="35" t="str">
        <f t="shared" si="0"/>
        <v/>
      </c>
      <c r="F14" s="35" t="str">
        <f t="shared" si="1"/>
        <v/>
      </c>
      <c r="G14" s="35" t="str">
        <f t="shared" si="2"/>
        <v/>
      </c>
      <c r="H14" s="35" t="str">
        <f t="shared" si="3"/>
        <v/>
      </c>
      <c r="I14" s="35" t="str">
        <f t="shared" si="4"/>
        <v/>
      </c>
      <c r="J14" s="35" t="str">
        <f t="shared" si="5"/>
        <v/>
      </c>
      <c r="K14" s="35" t="str">
        <f t="shared" si="6"/>
        <v/>
      </c>
      <c r="L14" s="35" t="str">
        <f t="shared" si="7"/>
        <v/>
      </c>
      <c r="M14" s="35" t="str">
        <f t="shared" si="8"/>
        <v/>
      </c>
      <c r="N14" s="35" t="str">
        <f t="shared" si="9"/>
        <v/>
      </c>
      <c r="O14" s="35" t="str">
        <f t="shared" si="10"/>
        <v/>
      </c>
      <c r="P14" s="35" t="str">
        <f t="shared" si="11"/>
        <v/>
      </c>
      <c r="Q14" s="35" t="str">
        <f t="shared" si="12"/>
        <v/>
      </c>
      <c r="R14" s="37" t="str">
        <f ca="1">'Maintenance PSURs'!O12</f>
        <v>N/A</v>
      </c>
    </row>
    <row r="15" spans="1:18" ht="15.95" customHeight="1" x14ac:dyDescent="0.25">
      <c r="A15" s="38" t="e">
        <f>'Maintenance PSURs'!#REF!</f>
        <v>#REF!</v>
      </c>
      <c r="B15" s="38" t="e">
        <f>'Maintenance PSURs'!#REF!</f>
        <v>#REF!</v>
      </c>
      <c r="C15" s="38" t="e">
        <f>'Maintenance PSURs'!#REF!</f>
        <v>#REF!</v>
      </c>
      <c r="D15" s="39" t="e">
        <f>'Maintenance PSURs'!#REF!</f>
        <v>#REF!</v>
      </c>
      <c r="E15" s="38" t="e">
        <f t="shared" si="0"/>
        <v>#REF!</v>
      </c>
      <c r="F15" s="38" t="e">
        <f t="shared" si="1"/>
        <v>#REF!</v>
      </c>
      <c r="G15" s="38" t="e">
        <f t="shared" si="2"/>
        <v>#REF!</v>
      </c>
      <c r="H15" s="38" t="e">
        <f t="shared" si="3"/>
        <v>#REF!</v>
      </c>
      <c r="I15" s="38" t="e">
        <f t="shared" si="4"/>
        <v>#REF!</v>
      </c>
      <c r="J15" s="38" t="e">
        <f t="shared" si="5"/>
        <v>#REF!</v>
      </c>
      <c r="K15" s="38" t="e">
        <f t="shared" si="6"/>
        <v>#REF!</v>
      </c>
      <c r="L15" s="38" t="e">
        <f t="shared" si="7"/>
        <v>#REF!</v>
      </c>
      <c r="M15" s="38" t="e">
        <f t="shared" si="8"/>
        <v>#REF!</v>
      </c>
      <c r="N15" s="38" t="e">
        <f t="shared" si="9"/>
        <v>#REF!</v>
      </c>
      <c r="O15" s="38" t="e">
        <f t="shared" si="10"/>
        <v>#REF!</v>
      </c>
      <c r="P15" s="38" t="e">
        <f t="shared" si="11"/>
        <v>#REF!</v>
      </c>
      <c r="Q15" s="38" t="e">
        <f t="shared" si="12"/>
        <v>#REF!</v>
      </c>
      <c r="R15" s="40" t="e">
        <f>'Maintenance PSURs'!#REF!</f>
        <v>#REF!</v>
      </c>
    </row>
    <row r="16" spans="1:18" ht="15.95" customHeight="1" x14ac:dyDescent="0.25">
      <c r="A16" s="35" t="e">
        <f>'Maintenance PSURs'!#REF!</f>
        <v>#REF!</v>
      </c>
      <c r="B16" s="35" t="e">
        <f>'Maintenance PSURs'!#REF!</f>
        <v>#REF!</v>
      </c>
      <c r="C16" s="35" t="e">
        <f>'Maintenance PSURs'!#REF!</f>
        <v>#REF!</v>
      </c>
      <c r="D16" s="36" t="e">
        <f>'Maintenance PSURs'!#REF!</f>
        <v>#REF!</v>
      </c>
      <c r="E16" s="35" t="e">
        <f t="shared" si="0"/>
        <v>#REF!</v>
      </c>
      <c r="F16" s="35" t="e">
        <f t="shared" si="1"/>
        <v>#REF!</v>
      </c>
      <c r="G16" s="35" t="e">
        <f t="shared" si="2"/>
        <v>#REF!</v>
      </c>
      <c r="H16" s="35" t="e">
        <f t="shared" si="3"/>
        <v>#REF!</v>
      </c>
      <c r="I16" s="35" t="e">
        <f t="shared" si="4"/>
        <v>#REF!</v>
      </c>
      <c r="J16" s="35" t="e">
        <f t="shared" si="5"/>
        <v>#REF!</v>
      </c>
      <c r="K16" s="35" t="e">
        <f t="shared" si="6"/>
        <v>#REF!</v>
      </c>
      <c r="L16" s="35" t="e">
        <f t="shared" si="7"/>
        <v>#REF!</v>
      </c>
      <c r="M16" s="35" t="e">
        <f t="shared" si="8"/>
        <v>#REF!</v>
      </c>
      <c r="N16" s="35" t="e">
        <f t="shared" si="9"/>
        <v>#REF!</v>
      </c>
      <c r="O16" s="35" t="e">
        <f t="shared" si="10"/>
        <v>#REF!</v>
      </c>
      <c r="P16" s="35" t="e">
        <f t="shared" si="11"/>
        <v>#REF!</v>
      </c>
      <c r="Q16" s="35" t="e">
        <f t="shared" si="12"/>
        <v>#REF!</v>
      </c>
      <c r="R16" s="37" t="e">
        <f>'Maintenance PSURs'!#REF!</f>
        <v>#REF!</v>
      </c>
    </row>
    <row r="17" spans="1:18" ht="15.95" customHeight="1" x14ac:dyDescent="0.25">
      <c r="A17" s="38" t="e">
        <f>'Maintenance PSURs'!#REF!</f>
        <v>#REF!</v>
      </c>
      <c r="B17" s="38" t="e">
        <f>'Maintenance PSURs'!#REF!</f>
        <v>#REF!</v>
      </c>
      <c r="C17" s="38" t="e">
        <f>'Maintenance PSURs'!#REF!</f>
        <v>#REF!</v>
      </c>
      <c r="D17" s="39" t="e">
        <f>'Maintenance PSURs'!#REF!</f>
        <v>#REF!</v>
      </c>
      <c r="E17" s="38" t="e">
        <f t="shared" si="0"/>
        <v>#REF!</v>
      </c>
      <c r="F17" s="38" t="e">
        <f t="shared" si="1"/>
        <v>#REF!</v>
      </c>
      <c r="G17" s="38" t="e">
        <f t="shared" si="2"/>
        <v>#REF!</v>
      </c>
      <c r="H17" s="38" t="e">
        <f t="shared" si="3"/>
        <v>#REF!</v>
      </c>
      <c r="I17" s="38" t="e">
        <f t="shared" si="4"/>
        <v>#REF!</v>
      </c>
      <c r="J17" s="38" t="e">
        <f t="shared" si="5"/>
        <v>#REF!</v>
      </c>
      <c r="K17" s="38" t="e">
        <f t="shared" si="6"/>
        <v>#REF!</v>
      </c>
      <c r="L17" s="38" t="e">
        <f t="shared" si="7"/>
        <v>#REF!</v>
      </c>
      <c r="M17" s="38" t="e">
        <f t="shared" si="8"/>
        <v>#REF!</v>
      </c>
      <c r="N17" s="38" t="e">
        <f t="shared" si="9"/>
        <v>#REF!</v>
      </c>
      <c r="O17" s="38" t="e">
        <f t="shared" si="10"/>
        <v>#REF!</v>
      </c>
      <c r="P17" s="38" t="e">
        <f t="shared" si="11"/>
        <v>#REF!</v>
      </c>
      <c r="Q17" s="38" t="e">
        <f t="shared" si="12"/>
        <v>#REF!</v>
      </c>
      <c r="R17" s="40" t="e">
        <f>'Maintenance PSURs'!#REF!</f>
        <v>#REF!</v>
      </c>
    </row>
    <row r="18" spans="1:18" ht="15.95" customHeight="1" x14ac:dyDescent="0.25">
      <c r="A18" s="35" t="str">
        <f>'Maintenance PSURs'!C13</f>
        <v>PSUR018</v>
      </c>
      <c r="B18" s="35" t="str">
        <f>'Maintenance PSURs'!L13</f>
        <v>TBD</v>
      </c>
      <c r="C18" s="35" t="str">
        <f>'Maintenance PSURs'!K13</f>
        <v>Not Started</v>
      </c>
      <c r="D18" s="36">
        <f>'Maintenance PSURs'!J13</f>
        <v>46290</v>
      </c>
      <c r="E18" s="35" t="str">
        <f t="shared" si="0"/>
        <v/>
      </c>
      <c r="F18" s="35" t="str">
        <f t="shared" si="1"/>
        <v/>
      </c>
      <c r="G18" s="35" t="str">
        <f t="shared" si="2"/>
        <v/>
      </c>
      <c r="H18" s="35" t="str">
        <f t="shared" si="3"/>
        <v/>
      </c>
      <c r="I18" s="35" t="str">
        <f t="shared" si="4"/>
        <v/>
      </c>
      <c r="J18" s="35" t="str">
        <f t="shared" si="5"/>
        <v/>
      </c>
      <c r="K18" s="35" t="str">
        <f t="shared" si="6"/>
        <v/>
      </c>
      <c r="L18" s="35" t="str">
        <f t="shared" si="7"/>
        <v/>
      </c>
      <c r="M18" s="35" t="str">
        <f t="shared" si="8"/>
        <v/>
      </c>
      <c r="N18" s="35" t="str">
        <f t="shared" si="9"/>
        <v/>
      </c>
      <c r="O18" s="35" t="str">
        <f t="shared" si="10"/>
        <v/>
      </c>
      <c r="P18" s="35" t="str">
        <f t="shared" si="11"/>
        <v/>
      </c>
      <c r="Q18" s="35" t="str">
        <f t="shared" si="12"/>
        <v>█</v>
      </c>
      <c r="R18" s="37">
        <f ca="1">'Maintenance PSURs'!O13</f>
        <v>172</v>
      </c>
    </row>
    <row r="19" spans="1:18" ht="15.95" customHeight="1" x14ac:dyDescent="0.25">
      <c r="A19" s="38" t="e">
        <f>'Maintenance PSURs'!#REF!</f>
        <v>#REF!</v>
      </c>
      <c r="B19" s="38" t="e">
        <f>'Maintenance PSURs'!#REF!</f>
        <v>#REF!</v>
      </c>
      <c r="C19" s="38" t="e">
        <f>'Maintenance PSURs'!#REF!</f>
        <v>#REF!</v>
      </c>
      <c r="D19" s="39" t="e">
        <f>'Maintenance PSURs'!#REF!</f>
        <v>#REF!</v>
      </c>
      <c r="E19" s="38" t="e">
        <f t="shared" si="0"/>
        <v>#REF!</v>
      </c>
      <c r="F19" s="38" t="e">
        <f t="shared" si="1"/>
        <v>#REF!</v>
      </c>
      <c r="G19" s="38" t="e">
        <f t="shared" si="2"/>
        <v>#REF!</v>
      </c>
      <c r="H19" s="38" t="e">
        <f t="shared" si="3"/>
        <v>#REF!</v>
      </c>
      <c r="I19" s="38" t="e">
        <f t="shared" si="4"/>
        <v>#REF!</v>
      </c>
      <c r="J19" s="38" t="e">
        <f t="shared" si="5"/>
        <v>#REF!</v>
      </c>
      <c r="K19" s="38" t="e">
        <f t="shared" si="6"/>
        <v>#REF!</v>
      </c>
      <c r="L19" s="38" t="e">
        <f t="shared" si="7"/>
        <v>#REF!</v>
      </c>
      <c r="M19" s="38" t="e">
        <f t="shared" si="8"/>
        <v>#REF!</v>
      </c>
      <c r="N19" s="38" t="e">
        <f t="shared" si="9"/>
        <v>#REF!</v>
      </c>
      <c r="O19" s="38" t="e">
        <f t="shared" si="10"/>
        <v>#REF!</v>
      </c>
      <c r="P19" s="38" t="e">
        <f t="shared" si="11"/>
        <v>#REF!</v>
      </c>
      <c r="Q19" s="38" t="e">
        <f t="shared" si="12"/>
        <v>#REF!</v>
      </c>
      <c r="R19" s="40" t="e">
        <f>'Maintenance PSURs'!#REF!</f>
        <v>#REF!</v>
      </c>
    </row>
    <row r="20" spans="1:18" ht="15.95" customHeight="1" x14ac:dyDescent="0.25">
      <c r="A20" s="35" t="e">
        <f>'Maintenance PSURs'!#REF!</f>
        <v>#REF!</v>
      </c>
      <c r="B20" s="35" t="e">
        <f>'Maintenance PSURs'!#REF!</f>
        <v>#REF!</v>
      </c>
      <c r="C20" s="35" t="e">
        <f>'Maintenance PSURs'!#REF!</f>
        <v>#REF!</v>
      </c>
      <c r="D20" s="36" t="e">
        <f>'Maintenance PSURs'!#REF!</f>
        <v>#REF!</v>
      </c>
      <c r="E20" s="35" t="e">
        <f t="shared" si="0"/>
        <v>#REF!</v>
      </c>
      <c r="F20" s="35" t="e">
        <f t="shared" si="1"/>
        <v>#REF!</v>
      </c>
      <c r="G20" s="35" t="e">
        <f t="shared" si="2"/>
        <v>#REF!</v>
      </c>
      <c r="H20" s="35" t="e">
        <f t="shared" si="3"/>
        <v>#REF!</v>
      </c>
      <c r="I20" s="35" t="e">
        <f t="shared" si="4"/>
        <v>#REF!</v>
      </c>
      <c r="J20" s="35" t="e">
        <f t="shared" si="5"/>
        <v>#REF!</v>
      </c>
      <c r="K20" s="35" t="e">
        <f t="shared" si="6"/>
        <v>#REF!</v>
      </c>
      <c r="L20" s="35" t="e">
        <f t="shared" si="7"/>
        <v>#REF!</v>
      </c>
      <c r="M20" s="35" t="e">
        <f t="shared" si="8"/>
        <v>#REF!</v>
      </c>
      <c r="N20" s="35" t="e">
        <f t="shared" si="9"/>
        <v>#REF!</v>
      </c>
      <c r="O20" s="35" t="e">
        <f t="shared" si="10"/>
        <v>#REF!</v>
      </c>
      <c r="P20" s="35" t="e">
        <f t="shared" si="11"/>
        <v>#REF!</v>
      </c>
      <c r="Q20" s="35" t="e">
        <f t="shared" si="12"/>
        <v>#REF!</v>
      </c>
      <c r="R20" s="37" t="e">
        <f>'Maintenance PSURs'!#REF!</f>
        <v>#REF!</v>
      </c>
    </row>
    <row r="21" spans="1:18" ht="15.95" customHeight="1" x14ac:dyDescent="0.25">
      <c r="A21" s="38" t="e">
        <f>'Maintenance PSURs'!#REF!</f>
        <v>#REF!</v>
      </c>
      <c r="B21" s="38" t="e">
        <f>'Maintenance PSURs'!#REF!</f>
        <v>#REF!</v>
      </c>
      <c r="C21" s="38" t="e">
        <f>'Maintenance PSURs'!#REF!</f>
        <v>#REF!</v>
      </c>
      <c r="D21" s="39" t="e">
        <f>'Maintenance PSURs'!#REF!</f>
        <v>#REF!</v>
      </c>
      <c r="E21" s="38" t="e">
        <f t="shared" si="0"/>
        <v>#REF!</v>
      </c>
      <c r="F21" s="38" t="e">
        <f t="shared" si="1"/>
        <v>#REF!</v>
      </c>
      <c r="G21" s="38" t="e">
        <f t="shared" si="2"/>
        <v>#REF!</v>
      </c>
      <c r="H21" s="38" t="e">
        <f t="shared" si="3"/>
        <v>#REF!</v>
      </c>
      <c r="I21" s="38" t="e">
        <f t="shared" si="4"/>
        <v>#REF!</v>
      </c>
      <c r="J21" s="38" t="e">
        <f t="shared" si="5"/>
        <v>#REF!</v>
      </c>
      <c r="K21" s="38" t="e">
        <f t="shared" si="6"/>
        <v>#REF!</v>
      </c>
      <c r="L21" s="38" t="e">
        <f t="shared" si="7"/>
        <v>#REF!</v>
      </c>
      <c r="M21" s="38" t="e">
        <f t="shared" si="8"/>
        <v>#REF!</v>
      </c>
      <c r="N21" s="38" t="e">
        <f t="shared" si="9"/>
        <v>#REF!</v>
      </c>
      <c r="O21" s="38" t="e">
        <f t="shared" si="10"/>
        <v>#REF!</v>
      </c>
      <c r="P21" s="38" t="e">
        <f t="shared" si="11"/>
        <v>#REF!</v>
      </c>
      <c r="Q21" s="38" t="e">
        <f t="shared" si="12"/>
        <v>#REF!</v>
      </c>
      <c r="R21" s="40" t="e">
        <f>'Maintenance PSURs'!#REF!</f>
        <v>#REF!</v>
      </c>
    </row>
    <row r="22" spans="1:18" ht="15.95" customHeight="1" x14ac:dyDescent="0.25">
      <c r="A22" s="35" t="e">
        <f>'Maintenance PSURs'!#REF!</f>
        <v>#REF!</v>
      </c>
      <c r="B22" s="35" t="e">
        <f>'Maintenance PSURs'!#REF!</f>
        <v>#REF!</v>
      </c>
      <c r="C22" s="35" t="e">
        <f>'Maintenance PSURs'!#REF!</f>
        <v>#REF!</v>
      </c>
      <c r="D22" s="36" t="e">
        <f>'Maintenance PSURs'!#REF!</f>
        <v>#REF!</v>
      </c>
      <c r="E22" s="35" t="e">
        <f t="shared" si="0"/>
        <v>#REF!</v>
      </c>
      <c r="F22" s="35" t="e">
        <f t="shared" si="1"/>
        <v>#REF!</v>
      </c>
      <c r="G22" s="35" t="e">
        <f t="shared" si="2"/>
        <v>#REF!</v>
      </c>
      <c r="H22" s="35" t="e">
        <f t="shared" si="3"/>
        <v>#REF!</v>
      </c>
      <c r="I22" s="35" t="e">
        <f t="shared" si="4"/>
        <v>#REF!</v>
      </c>
      <c r="J22" s="35" t="e">
        <f t="shared" si="5"/>
        <v>#REF!</v>
      </c>
      <c r="K22" s="35" t="e">
        <f t="shared" si="6"/>
        <v>#REF!</v>
      </c>
      <c r="L22" s="35" t="e">
        <f t="shared" si="7"/>
        <v>#REF!</v>
      </c>
      <c r="M22" s="35" t="e">
        <f t="shared" si="8"/>
        <v>#REF!</v>
      </c>
      <c r="N22" s="35" t="e">
        <f t="shared" si="9"/>
        <v>#REF!</v>
      </c>
      <c r="O22" s="35" t="e">
        <f t="shared" si="10"/>
        <v>#REF!</v>
      </c>
      <c r="P22" s="35" t="e">
        <f t="shared" si="11"/>
        <v>#REF!</v>
      </c>
      <c r="Q22" s="35" t="e">
        <f t="shared" si="12"/>
        <v>#REF!</v>
      </c>
      <c r="R22" s="37" t="e">
        <f>'Maintenance PSURs'!#REF!</f>
        <v>#REF!</v>
      </c>
    </row>
    <row r="23" spans="1:18" ht="15.95" customHeight="1" x14ac:dyDescent="0.25">
      <c r="A23" s="38" t="e">
        <f>'Maintenance PSURs'!#REF!</f>
        <v>#REF!</v>
      </c>
      <c r="B23" s="38" t="e">
        <f>'Maintenance PSURs'!#REF!</f>
        <v>#REF!</v>
      </c>
      <c r="C23" s="38" t="e">
        <f>'Maintenance PSURs'!#REF!</f>
        <v>#REF!</v>
      </c>
      <c r="D23" s="39" t="e">
        <f>'Maintenance PSURs'!#REF!</f>
        <v>#REF!</v>
      </c>
      <c r="E23" s="38" t="e">
        <f t="shared" si="0"/>
        <v>#REF!</v>
      </c>
      <c r="F23" s="38" t="e">
        <f t="shared" si="1"/>
        <v>#REF!</v>
      </c>
      <c r="G23" s="38" t="e">
        <f t="shared" si="2"/>
        <v>#REF!</v>
      </c>
      <c r="H23" s="38" t="e">
        <f t="shared" si="3"/>
        <v>#REF!</v>
      </c>
      <c r="I23" s="38" t="e">
        <f t="shared" si="4"/>
        <v>#REF!</v>
      </c>
      <c r="J23" s="38" t="e">
        <f t="shared" si="5"/>
        <v>#REF!</v>
      </c>
      <c r="K23" s="38" t="e">
        <f t="shared" si="6"/>
        <v>#REF!</v>
      </c>
      <c r="L23" s="38" t="e">
        <f t="shared" si="7"/>
        <v>#REF!</v>
      </c>
      <c r="M23" s="38" t="e">
        <f t="shared" si="8"/>
        <v>#REF!</v>
      </c>
      <c r="N23" s="38" t="e">
        <f t="shared" si="9"/>
        <v>#REF!</v>
      </c>
      <c r="O23" s="38" t="e">
        <f t="shared" si="10"/>
        <v>#REF!</v>
      </c>
      <c r="P23" s="38" t="e">
        <f t="shared" si="11"/>
        <v>#REF!</v>
      </c>
      <c r="Q23" s="38" t="e">
        <f t="shared" si="12"/>
        <v>#REF!</v>
      </c>
      <c r="R23" s="40" t="e">
        <f>'Maintenance PSURs'!#REF!</f>
        <v>#REF!</v>
      </c>
    </row>
    <row r="24" spans="1:18" ht="15.95" customHeight="1" x14ac:dyDescent="0.25">
      <c r="A24" s="35" t="e">
        <f>'Maintenance PSURs'!#REF!</f>
        <v>#REF!</v>
      </c>
      <c r="B24" s="35" t="e">
        <f>'Maintenance PSURs'!#REF!</f>
        <v>#REF!</v>
      </c>
      <c r="C24" s="35" t="e">
        <f>'Maintenance PSURs'!#REF!</f>
        <v>#REF!</v>
      </c>
      <c r="D24" s="36" t="e">
        <f>'Maintenance PSURs'!#REF!</f>
        <v>#REF!</v>
      </c>
      <c r="E24" s="35" t="e">
        <f t="shared" si="0"/>
        <v>#REF!</v>
      </c>
      <c r="F24" s="35" t="e">
        <f t="shared" si="1"/>
        <v>#REF!</v>
      </c>
      <c r="G24" s="35" t="e">
        <f t="shared" si="2"/>
        <v>#REF!</v>
      </c>
      <c r="H24" s="35" t="e">
        <f t="shared" si="3"/>
        <v>#REF!</v>
      </c>
      <c r="I24" s="35" t="e">
        <f t="shared" si="4"/>
        <v>#REF!</v>
      </c>
      <c r="J24" s="35" t="e">
        <f t="shared" si="5"/>
        <v>#REF!</v>
      </c>
      <c r="K24" s="35" t="e">
        <f t="shared" si="6"/>
        <v>#REF!</v>
      </c>
      <c r="L24" s="35" t="e">
        <f t="shared" si="7"/>
        <v>#REF!</v>
      </c>
      <c r="M24" s="35" t="e">
        <f t="shared" si="8"/>
        <v>#REF!</v>
      </c>
      <c r="N24" s="35" t="e">
        <f t="shared" si="9"/>
        <v>#REF!</v>
      </c>
      <c r="O24" s="35" t="e">
        <f t="shared" si="10"/>
        <v>#REF!</v>
      </c>
      <c r="P24" s="35" t="e">
        <f t="shared" si="11"/>
        <v>#REF!</v>
      </c>
      <c r="Q24" s="35" t="e">
        <f t="shared" si="12"/>
        <v>#REF!</v>
      </c>
      <c r="R24" s="37" t="e">
        <f>'Maintenance PSURs'!#REF!</f>
        <v>#REF!</v>
      </c>
    </row>
    <row r="25" spans="1:18" ht="15.95" customHeight="1" x14ac:dyDescent="0.25">
      <c r="A25" s="38" t="e">
        <f>'Maintenance PSURs'!#REF!</f>
        <v>#REF!</v>
      </c>
      <c r="B25" s="38" t="e">
        <f>'Maintenance PSURs'!#REF!</f>
        <v>#REF!</v>
      </c>
      <c r="C25" s="38" t="e">
        <f>'Maintenance PSURs'!#REF!</f>
        <v>#REF!</v>
      </c>
      <c r="D25" s="39" t="e">
        <f>'Maintenance PSURs'!#REF!</f>
        <v>#REF!</v>
      </c>
      <c r="E25" s="38" t="e">
        <f t="shared" si="0"/>
        <v>#REF!</v>
      </c>
      <c r="F25" s="38" t="e">
        <f t="shared" si="1"/>
        <v>#REF!</v>
      </c>
      <c r="G25" s="38" t="e">
        <f t="shared" si="2"/>
        <v>#REF!</v>
      </c>
      <c r="H25" s="38" t="e">
        <f t="shared" si="3"/>
        <v>#REF!</v>
      </c>
      <c r="I25" s="38" t="e">
        <f t="shared" si="4"/>
        <v>#REF!</v>
      </c>
      <c r="J25" s="38" t="e">
        <f t="shared" si="5"/>
        <v>#REF!</v>
      </c>
      <c r="K25" s="38" t="e">
        <f t="shared" si="6"/>
        <v>#REF!</v>
      </c>
      <c r="L25" s="38" t="e">
        <f t="shared" si="7"/>
        <v>#REF!</v>
      </c>
      <c r="M25" s="38" t="e">
        <f t="shared" si="8"/>
        <v>#REF!</v>
      </c>
      <c r="N25" s="38" t="e">
        <f t="shared" si="9"/>
        <v>#REF!</v>
      </c>
      <c r="O25" s="38" t="e">
        <f t="shared" si="10"/>
        <v>#REF!</v>
      </c>
      <c r="P25" s="38" t="e">
        <f t="shared" si="11"/>
        <v>#REF!</v>
      </c>
      <c r="Q25" s="38" t="e">
        <f t="shared" si="12"/>
        <v>#REF!</v>
      </c>
      <c r="R25" s="40" t="e">
        <f>'Maintenance PSURs'!#REF!</f>
        <v>#REF!</v>
      </c>
    </row>
    <row r="26" spans="1:18" ht="15.95" customHeight="1" x14ac:dyDescent="0.25">
      <c r="A26" s="35" t="e">
        <f>'Maintenance PSURs'!#REF!</f>
        <v>#REF!</v>
      </c>
      <c r="B26" s="35" t="e">
        <f>'Maintenance PSURs'!#REF!</f>
        <v>#REF!</v>
      </c>
      <c r="C26" s="35" t="e">
        <f>'Maintenance PSURs'!#REF!</f>
        <v>#REF!</v>
      </c>
      <c r="D26" s="36" t="e">
        <f>'Maintenance PSURs'!#REF!</f>
        <v>#REF!</v>
      </c>
      <c r="E26" s="35" t="e">
        <f t="shared" si="0"/>
        <v>#REF!</v>
      </c>
      <c r="F26" s="35" t="e">
        <f t="shared" si="1"/>
        <v>#REF!</v>
      </c>
      <c r="G26" s="35" t="e">
        <f t="shared" si="2"/>
        <v>#REF!</v>
      </c>
      <c r="H26" s="35" t="e">
        <f t="shared" si="3"/>
        <v>#REF!</v>
      </c>
      <c r="I26" s="35" t="e">
        <f t="shared" si="4"/>
        <v>#REF!</v>
      </c>
      <c r="J26" s="35" t="e">
        <f t="shared" si="5"/>
        <v>#REF!</v>
      </c>
      <c r="K26" s="35" t="e">
        <f t="shared" si="6"/>
        <v>#REF!</v>
      </c>
      <c r="L26" s="35" t="e">
        <f t="shared" si="7"/>
        <v>#REF!</v>
      </c>
      <c r="M26" s="35" t="e">
        <f t="shared" si="8"/>
        <v>#REF!</v>
      </c>
      <c r="N26" s="35" t="e">
        <f t="shared" si="9"/>
        <v>#REF!</v>
      </c>
      <c r="O26" s="35" t="e">
        <f t="shared" si="10"/>
        <v>#REF!</v>
      </c>
      <c r="P26" s="35" t="e">
        <f t="shared" si="11"/>
        <v>#REF!</v>
      </c>
      <c r="Q26" s="35" t="e">
        <f t="shared" si="12"/>
        <v>#REF!</v>
      </c>
      <c r="R26" s="37" t="e">
        <f>'Maintenance PSURs'!#REF!</f>
        <v>#REF!</v>
      </c>
    </row>
    <row r="27" spans="1:18" ht="15.95" customHeight="1" x14ac:dyDescent="0.25">
      <c r="A27" s="38" t="e">
        <f>'Maintenance PSURs'!#REF!</f>
        <v>#REF!</v>
      </c>
      <c r="B27" s="38" t="e">
        <f>'Maintenance PSURs'!#REF!</f>
        <v>#REF!</v>
      </c>
      <c r="C27" s="38" t="e">
        <f>'Maintenance PSURs'!#REF!</f>
        <v>#REF!</v>
      </c>
      <c r="D27" s="39" t="e">
        <f>'Maintenance PSURs'!#REF!</f>
        <v>#REF!</v>
      </c>
      <c r="E27" s="38" t="e">
        <f t="shared" si="0"/>
        <v>#REF!</v>
      </c>
      <c r="F27" s="38" t="e">
        <f t="shared" si="1"/>
        <v>#REF!</v>
      </c>
      <c r="G27" s="38" t="e">
        <f t="shared" si="2"/>
        <v>#REF!</v>
      </c>
      <c r="H27" s="38" t="e">
        <f t="shared" si="3"/>
        <v>#REF!</v>
      </c>
      <c r="I27" s="38" t="e">
        <f t="shared" si="4"/>
        <v>#REF!</v>
      </c>
      <c r="J27" s="38" t="e">
        <f t="shared" si="5"/>
        <v>#REF!</v>
      </c>
      <c r="K27" s="38" t="e">
        <f t="shared" si="6"/>
        <v>#REF!</v>
      </c>
      <c r="L27" s="38" t="e">
        <f t="shared" si="7"/>
        <v>#REF!</v>
      </c>
      <c r="M27" s="38" t="e">
        <f t="shared" si="8"/>
        <v>#REF!</v>
      </c>
      <c r="N27" s="38" t="e">
        <f t="shared" si="9"/>
        <v>#REF!</v>
      </c>
      <c r="O27" s="38" t="e">
        <f t="shared" si="10"/>
        <v>#REF!</v>
      </c>
      <c r="P27" s="38" t="e">
        <f t="shared" si="11"/>
        <v>#REF!</v>
      </c>
      <c r="Q27" s="38" t="e">
        <f t="shared" si="12"/>
        <v>#REF!</v>
      </c>
      <c r="R27" s="40" t="e">
        <f>'Maintenance PSURs'!#REF!</f>
        <v>#REF!</v>
      </c>
    </row>
    <row r="28" spans="1:18" ht="15.95" customHeight="1" x14ac:dyDescent="0.25">
      <c r="A28" s="35" t="e">
        <f>'Maintenance PSURs'!#REF!</f>
        <v>#REF!</v>
      </c>
      <c r="B28" s="35" t="e">
        <f>'Maintenance PSURs'!#REF!</f>
        <v>#REF!</v>
      </c>
      <c r="C28" s="35" t="e">
        <f>'Maintenance PSURs'!#REF!</f>
        <v>#REF!</v>
      </c>
      <c r="D28" s="36" t="e">
        <f>'Maintenance PSURs'!#REF!</f>
        <v>#REF!</v>
      </c>
      <c r="E28" s="35" t="e">
        <f t="shared" si="0"/>
        <v>#REF!</v>
      </c>
      <c r="F28" s="35" t="e">
        <f t="shared" si="1"/>
        <v>#REF!</v>
      </c>
      <c r="G28" s="35" t="e">
        <f t="shared" si="2"/>
        <v>#REF!</v>
      </c>
      <c r="H28" s="35" t="e">
        <f t="shared" si="3"/>
        <v>#REF!</v>
      </c>
      <c r="I28" s="35" t="e">
        <f t="shared" si="4"/>
        <v>#REF!</v>
      </c>
      <c r="J28" s="35" t="e">
        <f t="shared" si="5"/>
        <v>#REF!</v>
      </c>
      <c r="K28" s="35" t="e">
        <f t="shared" si="6"/>
        <v>#REF!</v>
      </c>
      <c r="L28" s="35" t="e">
        <f t="shared" si="7"/>
        <v>#REF!</v>
      </c>
      <c r="M28" s="35" t="e">
        <f t="shared" si="8"/>
        <v>#REF!</v>
      </c>
      <c r="N28" s="35" t="e">
        <f t="shared" si="9"/>
        <v>#REF!</v>
      </c>
      <c r="O28" s="35" t="e">
        <f t="shared" si="10"/>
        <v>#REF!</v>
      </c>
      <c r="P28" s="35" t="e">
        <f t="shared" si="11"/>
        <v>#REF!</v>
      </c>
      <c r="Q28" s="35" t="e">
        <f t="shared" si="12"/>
        <v>#REF!</v>
      </c>
      <c r="R28" s="37" t="e">
        <f>'Maintenance PSURs'!#REF!</f>
        <v>#REF!</v>
      </c>
    </row>
    <row r="29" spans="1:18" ht="15.95" customHeight="1" x14ac:dyDescent="0.25">
      <c r="A29" s="38" t="e">
        <f>'Maintenance PSURs'!#REF!</f>
        <v>#REF!</v>
      </c>
      <c r="B29" s="38" t="e">
        <f>'Maintenance PSURs'!#REF!</f>
        <v>#REF!</v>
      </c>
      <c r="C29" s="38" t="e">
        <f>'Maintenance PSURs'!#REF!</f>
        <v>#REF!</v>
      </c>
      <c r="D29" s="39" t="e">
        <f>'Maintenance PSURs'!#REF!</f>
        <v>#REF!</v>
      </c>
      <c r="E29" s="38" t="e">
        <f t="shared" si="0"/>
        <v>#REF!</v>
      </c>
      <c r="F29" s="38" t="e">
        <f t="shared" si="1"/>
        <v>#REF!</v>
      </c>
      <c r="G29" s="38" t="e">
        <f t="shared" si="2"/>
        <v>#REF!</v>
      </c>
      <c r="H29" s="38" t="e">
        <f t="shared" si="3"/>
        <v>#REF!</v>
      </c>
      <c r="I29" s="38" t="e">
        <f t="shared" si="4"/>
        <v>#REF!</v>
      </c>
      <c r="J29" s="38" t="e">
        <f t="shared" si="5"/>
        <v>#REF!</v>
      </c>
      <c r="K29" s="38" t="e">
        <f t="shared" si="6"/>
        <v>#REF!</v>
      </c>
      <c r="L29" s="38" t="e">
        <f t="shared" si="7"/>
        <v>#REF!</v>
      </c>
      <c r="M29" s="38" t="e">
        <f t="shared" si="8"/>
        <v>#REF!</v>
      </c>
      <c r="N29" s="38" t="e">
        <f t="shared" si="9"/>
        <v>#REF!</v>
      </c>
      <c r="O29" s="38" t="e">
        <f t="shared" si="10"/>
        <v>#REF!</v>
      </c>
      <c r="P29" s="38" t="e">
        <f t="shared" si="11"/>
        <v>#REF!</v>
      </c>
      <c r="Q29" s="38" t="e">
        <f t="shared" si="12"/>
        <v>#REF!</v>
      </c>
      <c r="R29" s="40" t="e">
        <f>'Maintenance PSURs'!#REF!</f>
        <v>#REF!</v>
      </c>
    </row>
    <row r="30" spans="1:18" ht="15.95" customHeight="1" x14ac:dyDescent="0.25">
      <c r="A30" s="35" t="e">
        <f>'Maintenance PSURs'!#REF!</f>
        <v>#REF!</v>
      </c>
      <c r="B30" s="35" t="e">
        <f>'Maintenance PSURs'!#REF!</f>
        <v>#REF!</v>
      </c>
      <c r="C30" s="35" t="e">
        <f>'Maintenance PSURs'!#REF!</f>
        <v>#REF!</v>
      </c>
      <c r="D30" s="36" t="e">
        <f>'Maintenance PSURs'!#REF!</f>
        <v>#REF!</v>
      </c>
      <c r="E30" s="35" t="e">
        <f t="shared" si="0"/>
        <v>#REF!</v>
      </c>
      <c r="F30" s="35" t="e">
        <f t="shared" si="1"/>
        <v>#REF!</v>
      </c>
      <c r="G30" s="35" t="e">
        <f t="shared" si="2"/>
        <v>#REF!</v>
      </c>
      <c r="H30" s="35" t="e">
        <f t="shared" si="3"/>
        <v>#REF!</v>
      </c>
      <c r="I30" s="35" t="e">
        <f t="shared" si="4"/>
        <v>#REF!</v>
      </c>
      <c r="J30" s="35" t="e">
        <f t="shared" si="5"/>
        <v>#REF!</v>
      </c>
      <c r="K30" s="35" t="e">
        <f t="shared" si="6"/>
        <v>#REF!</v>
      </c>
      <c r="L30" s="35" t="e">
        <f t="shared" si="7"/>
        <v>#REF!</v>
      </c>
      <c r="M30" s="35" t="e">
        <f t="shared" si="8"/>
        <v>#REF!</v>
      </c>
      <c r="N30" s="35" t="e">
        <f t="shared" si="9"/>
        <v>#REF!</v>
      </c>
      <c r="O30" s="35" t="e">
        <f t="shared" si="10"/>
        <v>#REF!</v>
      </c>
      <c r="P30" s="35" t="e">
        <f t="shared" si="11"/>
        <v>#REF!</v>
      </c>
      <c r="Q30" s="35" t="e">
        <f t="shared" si="12"/>
        <v>#REF!</v>
      </c>
      <c r="R30" s="37" t="e">
        <f>'Maintenance PSURs'!#REF!</f>
        <v>#REF!</v>
      </c>
    </row>
    <row r="31" spans="1:18" ht="15.95" customHeight="1" x14ac:dyDescent="0.25">
      <c r="A31" s="38" t="e">
        <f>'Maintenance PSURs'!#REF!</f>
        <v>#REF!</v>
      </c>
      <c r="B31" s="38" t="e">
        <f>'Maintenance PSURs'!#REF!</f>
        <v>#REF!</v>
      </c>
      <c r="C31" s="38" t="e">
        <f>'Maintenance PSURs'!#REF!</f>
        <v>#REF!</v>
      </c>
      <c r="D31" s="39" t="e">
        <f>'Maintenance PSURs'!#REF!</f>
        <v>#REF!</v>
      </c>
      <c r="E31" s="38" t="e">
        <f t="shared" si="0"/>
        <v>#REF!</v>
      </c>
      <c r="F31" s="38" t="e">
        <f t="shared" si="1"/>
        <v>#REF!</v>
      </c>
      <c r="G31" s="38" t="e">
        <f t="shared" si="2"/>
        <v>#REF!</v>
      </c>
      <c r="H31" s="38" t="e">
        <f t="shared" si="3"/>
        <v>#REF!</v>
      </c>
      <c r="I31" s="38" t="e">
        <f t="shared" si="4"/>
        <v>#REF!</v>
      </c>
      <c r="J31" s="38" t="e">
        <f t="shared" si="5"/>
        <v>#REF!</v>
      </c>
      <c r="K31" s="38" t="e">
        <f t="shared" si="6"/>
        <v>#REF!</v>
      </c>
      <c r="L31" s="38" t="e">
        <f t="shared" si="7"/>
        <v>#REF!</v>
      </c>
      <c r="M31" s="38" t="e">
        <f t="shared" si="8"/>
        <v>#REF!</v>
      </c>
      <c r="N31" s="38" t="e">
        <f t="shared" si="9"/>
        <v>#REF!</v>
      </c>
      <c r="O31" s="38" t="e">
        <f t="shared" si="10"/>
        <v>#REF!</v>
      </c>
      <c r="P31" s="38" t="e">
        <f t="shared" si="11"/>
        <v>#REF!</v>
      </c>
      <c r="Q31" s="38" t="e">
        <f t="shared" si="12"/>
        <v>#REF!</v>
      </c>
      <c r="R31" s="40" t="e">
        <f>'Maintenance PSURs'!#REF!</f>
        <v>#REF!</v>
      </c>
    </row>
    <row r="32" spans="1:18" ht="15.95" customHeight="1" x14ac:dyDescent="0.25">
      <c r="A32" s="35" t="e">
        <f>'Maintenance PSURs'!#REF!</f>
        <v>#REF!</v>
      </c>
      <c r="B32" s="35" t="e">
        <f>'Maintenance PSURs'!#REF!</f>
        <v>#REF!</v>
      </c>
      <c r="C32" s="35" t="e">
        <f>'Maintenance PSURs'!#REF!</f>
        <v>#REF!</v>
      </c>
      <c r="D32" s="36" t="e">
        <f>'Maintenance PSURs'!#REF!</f>
        <v>#REF!</v>
      </c>
      <c r="E32" s="35" t="e">
        <f t="shared" si="0"/>
        <v>#REF!</v>
      </c>
      <c r="F32" s="35" t="e">
        <f t="shared" si="1"/>
        <v>#REF!</v>
      </c>
      <c r="G32" s="35" t="e">
        <f t="shared" si="2"/>
        <v>#REF!</v>
      </c>
      <c r="H32" s="35" t="e">
        <f t="shared" si="3"/>
        <v>#REF!</v>
      </c>
      <c r="I32" s="35" t="e">
        <f t="shared" si="4"/>
        <v>#REF!</v>
      </c>
      <c r="J32" s="35" t="e">
        <f t="shared" si="5"/>
        <v>#REF!</v>
      </c>
      <c r="K32" s="35" t="e">
        <f t="shared" si="6"/>
        <v>#REF!</v>
      </c>
      <c r="L32" s="35" t="e">
        <f t="shared" si="7"/>
        <v>#REF!</v>
      </c>
      <c r="M32" s="35" t="e">
        <f t="shared" si="8"/>
        <v>#REF!</v>
      </c>
      <c r="N32" s="35" t="e">
        <f t="shared" si="9"/>
        <v>#REF!</v>
      </c>
      <c r="O32" s="35" t="e">
        <f t="shared" si="10"/>
        <v>#REF!</v>
      </c>
      <c r="P32" s="35" t="e">
        <f t="shared" si="11"/>
        <v>#REF!</v>
      </c>
      <c r="Q32" s="35" t="e">
        <f t="shared" si="12"/>
        <v>#REF!</v>
      </c>
      <c r="R32" s="37" t="e">
        <f>'Maintenance PSURs'!#REF!</f>
        <v>#REF!</v>
      </c>
    </row>
    <row r="33" spans="1:18" ht="15.95" customHeight="1" x14ac:dyDescent="0.25">
      <c r="A33" s="38" t="e">
        <f>'Maintenance PSURs'!#REF!</f>
        <v>#REF!</v>
      </c>
      <c r="B33" s="38" t="e">
        <f>'Maintenance PSURs'!#REF!</f>
        <v>#REF!</v>
      </c>
      <c r="C33" s="38" t="e">
        <f>'Maintenance PSURs'!#REF!</f>
        <v>#REF!</v>
      </c>
      <c r="D33" s="39" t="e">
        <f>'Maintenance PSURs'!#REF!</f>
        <v>#REF!</v>
      </c>
      <c r="E33" s="38" t="e">
        <f t="shared" si="0"/>
        <v>#REF!</v>
      </c>
      <c r="F33" s="38" t="e">
        <f t="shared" si="1"/>
        <v>#REF!</v>
      </c>
      <c r="G33" s="38" t="e">
        <f t="shared" si="2"/>
        <v>#REF!</v>
      </c>
      <c r="H33" s="38" t="e">
        <f t="shared" si="3"/>
        <v>#REF!</v>
      </c>
      <c r="I33" s="38" t="e">
        <f t="shared" si="4"/>
        <v>#REF!</v>
      </c>
      <c r="J33" s="38" t="e">
        <f t="shared" si="5"/>
        <v>#REF!</v>
      </c>
      <c r="K33" s="38" t="e">
        <f t="shared" si="6"/>
        <v>#REF!</v>
      </c>
      <c r="L33" s="38" t="e">
        <f t="shared" si="7"/>
        <v>#REF!</v>
      </c>
      <c r="M33" s="38" t="e">
        <f t="shared" si="8"/>
        <v>#REF!</v>
      </c>
      <c r="N33" s="38" t="e">
        <f t="shared" si="9"/>
        <v>#REF!</v>
      </c>
      <c r="O33" s="38" t="e">
        <f t="shared" si="10"/>
        <v>#REF!</v>
      </c>
      <c r="P33" s="38" t="e">
        <f t="shared" si="11"/>
        <v>#REF!</v>
      </c>
      <c r="Q33" s="38" t="e">
        <f t="shared" si="12"/>
        <v>#REF!</v>
      </c>
      <c r="R33" s="40" t="e">
        <f>'Maintenance PSURs'!#REF!</f>
        <v>#REF!</v>
      </c>
    </row>
    <row r="34" spans="1:18" ht="15.95" customHeight="1" x14ac:dyDescent="0.25">
      <c r="A34" s="35" t="e">
        <f>'Maintenance PSURs'!#REF!</f>
        <v>#REF!</v>
      </c>
      <c r="B34" s="35" t="e">
        <f>'Maintenance PSURs'!#REF!</f>
        <v>#REF!</v>
      </c>
      <c r="C34" s="35" t="e">
        <f>'Maintenance PSURs'!#REF!</f>
        <v>#REF!</v>
      </c>
      <c r="D34" s="36" t="e">
        <f>'Maintenance PSURs'!#REF!</f>
        <v>#REF!</v>
      </c>
      <c r="E34" s="35" t="e">
        <f t="shared" si="0"/>
        <v>#REF!</v>
      </c>
      <c r="F34" s="35" t="e">
        <f t="shared" si="1"/>
        <v>#REF!</v>
      </c>
      <c r="G34" s="35" t="e">
        <f t="shared" si="2"/>
        <v>#REF!</v>
      </c>
      <c r="H34" s="35" t="e">
        <f t="shared" si="3"/>
        <v>#REF!</v>
      </c>
      <c r="I34" s="35" t="e">
        <f t="shared" si="4"/>
        <v>#REF!</v>
      </c>
      <c r="J34" s="35" t="e">
        <f t="shared" si="5"/>
        <v>#REF!</v>
      </c>
      <c r="K34" s="35" t="e">
        <f t="shared" si="6"/>
        <v>#REF!</v>
      </c>
      <c r="L34" s="35" t="e">
        <f t="shared" si="7"/>
        <v>#REF!</v>
      </c>
      <c r="M34" s="35" t="e">
        <f t="shared" si="8"/>
        <v>#REF!</v>
      </c>
      <c r="N34" s="35" t="e">
        <f t="shared" si="9"/>
        <v>#REF!</v>
      </c>
      <c r="O34" s="35" t="e">
        <f t="shared" si="10"/>
        <v>#REF!</v>
      </c>
      <c r="P34" s="35" t="e">
        <f t="shared" si="11"/>
        <v>#REF!</v>
      </c>
      <c r="Q34" s="35" t="e">
        <f t="shared" si="12"/>
        <v>#REF!</v>
      </c>
      <c r="R34" s="37" t="e">
        <f>'Maintenance PSURs'!#REF!</f>
        <v>#REF!</v>
      </c>
    </row>
    <row r="35" spans="1:18" ht="15.95" customHeight="1" x14ac:dyDescent="0.25">
      <c r="A35" s="38" t="str">
        <f>'Maintenance PSURs'!C14</f>
        <v>PSUR039</v>
      </c>
      <c r="B35" s="38" t="str">
        <f>'Maintenance PSURs'!L14</f>
        <v>Harish</v>
      </c>
      <c r="C35" s="38" t="str">
        <f>'Maintenance PSURs'!K14</f>
        <v>In progress</v>
      </c>
      <c r="D35" s="39">
        <f>'Maintenance PSURs'!J14</f>
        <v>46112</v>
      </c>
      <c r="E35" s="38" t="str">
        <f t="shared" si="0"/>
        <v/>
      </c>
      <c r="F35" s="38" t="str">
        <f t="shared" si="1"/>
        <v/>
      </c>
      <c r="G35" s="38" t="str">
        <f t="shared" si="2"/>
        <v/>
      </c>
      <c r="H35" s="38" t="str">
        <f t="shared" si="3"/>
        <v/>
      </c>
      <c r="I35" s="38" t="str">
        <f t="shared" si="4"/>
        <v/>
      </c>
      <c r="J35" s="38" t="str">
        <f t="shared" si="5"/>
        <v>█</v>
      </c>
      <c r="K35" s="38" t="str">
        <f t="shared" si="6"/>
        <v/>
      </c>
      <c r="L35" s="38" t="str">
        <f t="shared" si="7"/>
        <v/>
      </c>
      <c r="M35" s="38" t="str">
        <f t="shared" si="8"/>
        <v/>
      </c>
      <c r="N35" s="38" t="str">
        <f t="shared" si="9"/>
        <v/>
      </c>
      <c r="O35" s="38" t="str">
        <f t="shared" si="10"/>
        <v/>
      </c>
      <c r="P35" s="38" t="str">
        <f t="shared" si="11"/>
        <v/>
      </c>
      <c r="Q35" s="38" t="str">
        <f t="shared" si="12"/>
        <v/>
      </c>
      <c r="R35" s="40">
        <f ca="1">'Maintenance PSURs'!O14</f>
        <v>-6</v>
      </c>
    </row>
    <row r="36" spans="1:18" ht="15.95" customHeight="1" x14ac:dyDescent="0.25">
      <c r="A36" s="35" t="str">
        <f>'Maintenance PSURs'!C15</f>
        <v>PSUR041</v>
      </c>
      <c r="B36" s="35" t="str">
        <f>'Maintenance PSURs'!L15</f>
        <v>Jeff</v>
      </c>
      <c r="C36" s="35" t="str">
        <f>'Maintenance PSURs'!K15</f>
        <v>Not Started</v>
      </c>
      <c r="D36" s="36">
        <f>'Maintenance PSURs'!J15</f>
        <v>46157</v>
      </c>
      <c r="E36" s="35" t="str">
        <f t="shared" si="0"/>
        <v/>
      </c>
      <c r="F36" s="35" t="str">
        <f t="shared" si="1"/>
        <v/>
      </c>
      <c r="G36" s="35" t="str">
        <f t="shared" si="2"/>
        <v/>
      </c>
      <c r="H36" s="35" t="str">
        <f t="shared" si="3"/>
        <v/>
      </c>
      <c r="I36" s="35" t="str">
        <f t="shared" si="4"/>
        <v/>
      </c>
      <c r="J36" s="35" t="str">
        <f t="shared" si="5"/>
        <v/>
      </c>
      <c r="K36" s="35" t="str">
        <f t="shared" si="6"/>
        <v/>
      </c>
      <c r="L36" s="35" t="str">
        <f t="shared" si="7"/>
        <v/>
      </c>
      <c r="M36" s="35" t="str">
        <f t="shared" si="8"/>
        <v>█</v>
      </c>
      <c r="N36" s="35" t="str">
        <f t="shared" si="9"/>
        <v/>
      </c>
      <c r="O36" s="35" t="str">
        <f t="shared" si="10"/>
        <v/>
      </c>
      <c r="P36" s="35" t="str">
        <f t="shared" si="11"/>
        <v/>
      </c>
      <c r="Q36" s="35" t="str">
        <f t="shared" si="12"/>
        <v/>
      </c>
      <c r="R36" s="37">
        <f ca="1">'Maintenance PSURs'!O15</f>
        <v>39</v>
      </c>
    </row>
    <row r="37" spans="1:18" ht="15.95" customHeight="1" x14ac:dyDescent="0.25">
      <c r="A37" s="38" t="str">
        <f>'Maintenance PSURs'!C16</f>
        <v>PSUR044</v>
      </c>
      <c r="B37" s="38" t="str">
        <f>'Maintenance PSURs'!L16</f>
        <v>Jeff</v>
      </c>
      <c r="C37" s="38" t="str">
        <f>'Maintenance PSURs'!K16</f>
        <v>Not Started</v>
      </c>
      <c r="D37" s="39">
        <f>'Maintenance PSURs'!J16</f>
        <v>46150</v>
      </c>
      <c r="E37" s="38" t="str">
        <f t="shared" si="0"/>
        <v/>
      </c>
      <c r="F37" s="38" t="str">
        <f t="shared" si="1"/>
        <v/>
      </c>
      <c r="G37" s="38" t="str">
        <f t="shared" si="2"/>
        <v/>
      </c>
      <c r="H37" s="38" t="str">
        <f t="shared" si="3"/>
        <v/>
      </c>
      <c r="I37" s="38" t="str">
        <f t="shared" si="4"/>
        <v/>
      </c>
      <c r="J37" s="38" t="str">
        <f t="shared" si="5"/>
        <v/>
      </c>
      <c r="K37" s="38" t="str">
        <f t="shared" si="6"/>
        <v/>
      </c>
      <c r="L37" s="38" t="str">
        <f t="shared" si="7"/>
        <v/>
      </c>
      <c r="M37" s="38" t="str">
        <f t="shared" si="8"/>
        <v>█</v>
      </c>
      <c r="N37" s="38" t="str">
        <f t="shared" si="9"/>
        <v/>
      </c>
      <c r="O37" s="38" t="str">
        <f t="shared" si="10"/>
        <v/>
      </c>
      <c r="P37" s="38" t="str">
        <f t="shared" si="11"/>
        <v/>
      </c>
      <c r="Q37" s="38" t="str">
        <f t="shared" si="12"/>
        <v/>
      </c>
      <c r="R37" s="40">
        <f ca="1">'Maintenance PSURs'!O16</f>
        <v>32</v>
      </c>
    </row>
    <row r="38" spans="1:18" ht="15.95" customHeight="1" x14ac:dyDescent="0.25">
      <c r="A38" s="35" t="str">
        <f>'Maintenance PSURs'!C17</f>
        <v>PSUR049</v>
      </c>
      <c r="B38" s="35" t="str">
        <f>'Maintenance PSURs'!L17</f>
        <v>Venkata</v>
      </c>
      <c r="C38" s="35" t="str">
        <f>'Maintenance PSURs'!K17</f>
        <v>Not Started</v>
      </c>
      <c r="D38" s="36">
        <f>'Maintenance PSURs'!J17</f>
        <v>46094</v>
      </c>
      <c r="E38" s="35" t="str">
        <f t="shared" si="0"/>
        <v/>
      </c>
      <c r="F38" s="35" t="str">
        <f t="shared" si="1"/>
        <v/>
      </c>
      <c r="G38" s="35" t="str">
        <f t="shared" si="2"/>
        <v/>
      </c>
      <c r="H38" s="35" t="str">
        <f t="shared" si="3"/>
        <v/>
      </c>
      <c r="I38" s="35" t="str">
        <f t="shared" si="4"/>
        <v>█</v>
      </c>
      <c r="J38" s="35" t="str">
        <f t="shared" si="5"/>
        <v/>
      </c>
      <c r="K38" s="35" t="str">
        <f t="shared" si="6"/>
        <v/>
      </c>
      <c r="L38" s="35" t="str">
        <f t="shared" si="7"/>
        <v/>
      </c>
      <c r="M38" s="35" t="str">
        <f t="shared" si="8"/>
        <v/>
      </c>
      <c r="N38" s="35" t="str">
        <f t="shared" si="9"/>
        <v/>
      </c>
      <c r="O38" s="35" t="str">
        <f t="shared" si="10"/>
        <v/>
      </c>
      <c r="P38" s="35" t="str">
        <f t="shared" si="11"/>
        <v/>
      </c>
      <c r="Q38" s="35" t="str">
        <f t="shared" si="12"/>
        <v/>
      </c>
      <c r="R38" s="37">
        <f ca="1">'Maintenance PSURs'!O17</f>
        <v>-24</v>
      </c>
    </row>
    <row r="39" spans="1:18" ht="15.95" customHeight="1" x14ac:dyDescent="0.25">
      <c r="A39" s="38" t="str">
        <f>'Maintenance PSURs'!C18</f>
        <v>PSUR050</v>
      </c>
      <c r="B39" s="38" t="str">
        <f>'Maintenance PSURs'!L18</f>
        <v>Jeff</v>
      </c>
      <c r="C39" s="38" t="str">
        <f>'Maintenance PSURs'!K18</f>
        <v>In Review</v>
      </c>
      <c r="D39" s="39">
        <f>'Maintenance PSURs'!J18</f>
        <v>46080</v>
      </c>
      <c r="E39" s="38" t="str">
        <f t="shared" si="0"/>
        <v/>
      </c>
      <c r="F39" s="38" t="str">
        <f t="shared" si="1"/>
        <v/>
      </c>
      <c r="G39" s="38" t="str">
        <f t="shared" si="2"/>
        <v/>
      </c>
      <c r="H39" s="38" t="str">
        <f t="shared" si="3"/>
        <v>█</v>
      </c>
      <c r="I39" s="38" t="str">
        <f t="shared" si="4"/>
        <v/>
      </c>
      <c r="J39" s="38" t="str">
        <f t="shared" si="5"/>
        <v/>
      </c>
      <c r="K39" s="38" t="str">
        <f t="shared" si="6"/>
        <v/>
      </c>
      <c r="L39" s="38" t="str">
        <f t="shared" si="7"/>
        <v/>
      </c>
      <c r="M39" s="38" t="str">
        <f t="shared" si="8"/>
        <v/>
      </c>
      <c r="N39" s="38" t="str">
        <f t="shared" si="9"/>
        <v/>
      </c>
      <c r="O39" s="38" t="str">
        <f t="shared" si="10"/>
        <v/>
      </c>
      <c r="P39" s="38" t="str">
        <f t="shared" si="11"/>
        <v/>
      </c>
      <c r="Q39" s="38" t="str">
        <f t="shared" si="12"/>
        <v/>
      </c>
      <c r="R39" s="40">
        <f ca="1">'Maintenance PSURs'!O18</f>
        <v>-38</v>
      </c>
    </row>
    <row r="40" spans="1:18" ht="15.95" customHeight="1" x14ac:dyDescent="0.25">
      <c r="A40" s="35" t="str">
        <f>'Maintenance PSURs'!C19</f>
        <v>PSUR070</v>
      </c>
      <c r="B40" s="35" t="str">
        <f>'Maintenance PSURs'!L19</f>
        <v>Venkata</v>
      </c>
      <c r="C40" s="35" t="str">
        <f>'Maintenance PSURs'!K19</f>
        <v>In progress</v>
      </c>
      <c r="D40" s="36">
        <f>'Maintenance PSURs'!J19</f>
        <v>46080</v>
      </c>
      <c r="E40" s="35" t="str">
        <f t="shared" si="0"/>
        <v/>
      </c>
      <c r="F40" s="35" t="str">
        <f t="shared" si="1"/>
        <v/>
      </c>
      <c r="G40" s="35" t="str">
        <f t="shared" si="2"/>
        <v/>
      </c>
      <c r="H40" s="35" t="str">
        <f t="shared" si="3"/>
        <v>█</v>
      </c>
      <c r="I40" s="35" t="str">
        <f t="shared" si="4"/>
        <v/>
      </c>
      <c r="J40" s="35" t="str">
        <f t="shared" si="5"/>
        <v/>
      </c>
      <c r="K40" s="35" t="str">
        <f t="shared" si="6"/>
        <v/>
      </c>
      <c r="L40" s="35" t="str">
        <f t="shared" si="7"/>
        <v/>
      </c>
      <c r="M40" s="35" t="str">
        <f t="shared" si="8"/>
        <v/>
      </c>
      <c r="N40" s="35" t="str">
        <f t="shared" si="9"/>
        <v/>
      </c>
      <c r="O40" s="35" t="str">
        <f t="shared" si="10"/>
        <v/>
      </c>
      <c r="P40" s="35" t="str">
        <f t="shared" si="11"/>
        <v/>
      </c>
      <c r="Q40" s="35" t="str">
        <f t="shared" si="12"/>
        <v/>
      </c>
      <c r="R40" s="37">
        <f ca="1">'Maintenance PSURs'!O19</f>
        <v>-38</v>
      </c>
    </row>
    <row r="41" spans="1:18" ht="15.95" customHeight="1" x14ac:dyDescent="0.25">
      <c r="A41" s="38" t="e">
        <f>'Maintenance PSURs'!#REF!</f>
        <v>#REF!</v>
      </c>
      <c r="B41" s="38" t="e">
        <f>'Maintenance PSURs'!#REF!</f>
        <v>#REF!</v>
      </c>
      <c r="C41" s="38" t="e">
        <f>'Maintenance PSURs'!#REF!</f>
        <v>#REF!</v>
      </c>
      <c r="D41" s="39" t="e">
        <f>'Maintenance PSURs'!#REF!</f>
        <v>#REF!</v>
      </c>
      <c r="E41" s="38" t="e">
        <f t="shared" si="0"/>
        <v>#REF!</v>
      </c>
      <c r="F41" s="38" t="e">
        <f t="shared" si="1"/>
        <v>#REF!</v>
      </c>
      <c r="G41" s="38" t="e">
        <f t="shared" si="2"/>
        <v>#REF!</v>
      </c>
      <c r="H41" s="38" t="e">
        <f t="shared" si="3"/>
        <v>#REF!</v>
      </c>
      <c r="I41" s="38" t="e">
        <f t="shared" si="4"/>
        <v>#REF!</v>
      </c>
      <c r="J41" s="38" t="e">
        <f t="shared" si="5"/>
        <v>#REF!</v>
      </c>
      <c r="K41" s="38" t="e">
        <f t="shared" si="6"/>
        <v>#REF!</v>
      </c>
      <c r="L41" s="38" t="e">
        <f t="shared" si="7"/>
        <v>#REF!</v>
      </c>
      <c r="M41" s="38" t="e">
        <f t="shared" si="8"/>
        <v>#REF!</v>
      </c>
      <c r="N41" s="38" t="e">
        <f t="shared" si="9"/>
        <v>#REF!</v>
      </c>
      <c r="O41" s="38" t="e">
        <f t="shared" si="10"/>
        <v>#REF!</v>
      </c>
      <c r="P41" s="38" t="e">
        <f t="shared" si="11"/>
        <v>#REF!</v>
      </c>
      <c r="Q41" s="38" t="e">
        <f t="shared" si="12"/>
        <v>#REF!</v>
      </c>
      <c r="R41" s="40" t="e">
        <f>'Maintenance PSURs'!#REF!</f>
        <v>#REF!</v>
      </c>
    </row>
    <row r="42" spans="1:18" ht="15.95" customHeight="1" x14ac:dyDescent="0.25">
      <c r="A42" s="35" t="e">
        <f>'Maintenance PSURs'!#REF!</f>
        <v>#REF!</v>
      </c>
      <c r="B42" s="35" t="e">
        <f>'Maintenance PSURs'!#REF!</f>
        <v>#REF!</v>
      </c>
      <c r="C42" s="35" t="e">
        <f>'Maintenance PSURs'!#REF!</f>
        <v>#REF!</v>
      </c>
      <c r="D42" s="36" t="e">
        <f>'Maintenance PSURs'!#REF!</f>
        <v>#REF!</v>
      </c>
      <c r="E42" s="35" t="e">
        <f t="shared" si="0"/>
        <v>#REF!</v>
      </c>
      <c r="F42" s="35" t="e">
        <f t="shared" si="1"/>
        <v>#REF!</v>
      </c>
      <c r="G42" s="35" t="e">
        <f t="shared" si="2"/>
        <v>#REF!</v>
      </c>
      <c r="H42" s="35" t="e">
        <f t="shared" si="3"/>
        <v>#REF!</v>
      </c>
      <c r="I42" s="35" t="e">
        <f t="shared" si="4"/>
        <v>#REF!</v>
      </c>
      <c r="J42" s="35" t="e">
        <f t="shared" si="5"/>
        <v>#REF!</v>
      </c>
      <c r="K42" s="35" t="e">
        <f t="shared" si="6"/>
        <v>#REF!</v>
      </c>
      <c r="L42" s="35" t="e">
        <f t="shared" si="7"/>
        <v>#REF!</v>
      </c>
      <c r="M42" s="35" t="e">
        <f t="shared" si="8"/>
        <v>#REF!</v>
      </c>
      <c r="N42" s="35" t="e">
        <f t="shared" si="9"/>
        <v>#REF!</v>
      </c>
      <c r="O42" s="35" t="e">
        <f t="shared" si="10"/>
        <v>#REF!</v>
      </c>
      <c r="P42" s="35" t="e">
        <f t="shared" si="11"/>
        <v>#REF!</v>
      </c>
      <c r="Q42" s="35" t="e">
        <f t="shared" si="12"/>
        <v>#REF!</v>
      </c>
      <c r="R42" s="37" t="e">
        <f>'Maintenance PSURs'!#REF!</f>
        <v>#REF!</v>
      </c>
    </row>
    <row r="43" spans="1:18" ht="15.95" customHeight="1" x14ac:dyDescent="0.25">
      <c r="A43" s="38" t="str">
        <f>'Maintenance PSURs'!C20</f>
        <v>PSUR047</v>
      </c>
      <c r="B43" s="38" t="str">
        <f>'Maintenance PSURs'!L20</f>
        <v>TBD</v>
      </c>
      <c r="C43" s="38" t="str">
        <f>'Maintenance PSURs'!K20</f>
        <v>Not Started</v>
      </c>
      <c r="D43" s="39">
        <f>'Maintenance PSURs'!J20</f>
        <v>46233</v>
      </c>
      <c r="E43" s="38" t="str">
        <f t="shared" si="0"/>
        <v/>
      </c>
      <c r="F43" s="38" t="str">
        <f t="shared" si="1"/>
        <v/>
      </c>
      <c r="G43" s="38" t="str">
        <f t="shared" si="2"/>
        <v/>
      </c>
      <c r="H43" s="38" t="str">
        <f t="shared" si="3"/>
        <v/>
      </c>
      <c r="I43" s="38" t="str">
        <f t="shared" si="4"/>
        <v/>
      </c>
      <c r="J43" s="38" t="str">
        <f t="shared" si="5"/>
        <v/>
      </c>
      <c r="K43" s="38" t="str">
        <f t="shared" si="6"/>
        <v/>
      </c>
      <c r="L43" s="38" t="str">
        <f t="shared" si="7"/>
        <v/>
      </c>
      <c r="M43" s="38" t="str">
        <f t="shared" si="8"/>
        <v/>
      </c>
      <c r="N43" s="38" t="str">
        <f t="shared" si="9"/>
        <v/>
      </c>
      <c r="O43" s="38" t="str">
        <f t="shared" si="10"/>
        <v/>
      </c>
      <c r="P43" s="38" t="str">
        <f t="shared" si="11"/>
        <v/>
      </c>
      <c r="Q43" s="38" t="str">
        <f t="shared" si="12"/>
        <v>█</v>
      </c>
      <c r="R43" s="40">
        <f ca="1">'Maintenance PSURs'!O20</f>
        <v>115</v>
      </c>
    </row>
    <row r="44" spans="1:18" ht="15.95" customHeight="1" x14ac:dyDescent="0.25">
      <c r="A44" s="35" t="str">
        <f>'Maintenance PSURs'!C21</f>
        <v>PSUR048</v>
      </c>
      <c r="B44" s="35" t="str">
        <f>'Maintenance PSURs'!L21</f>
        <v>TBD</v>
      </c>
      <c r="C44" s="35" t="str">
        <f>'Maintenance PSURs'!K21</f>
        <v>Not Started</v>
      </c>
      <c r="D44" s="36">
        <f>'Maintenance PSURs'!J21</f>
        <v>46233</v>
      </c>
      <c r="E44" s="35" t="str">
        <f t="shared" si="0"/>
        <v/>
      </c>
      <c r="F44" s="35" t="str">
        <f t="shared" si="1"/>
        <v/>
      </c>
      <c r="G44" s="35" t="str">
        <f t="shared" si="2"/>
        <v/>
      </c>
      <c r="H44" s="35" t="str">
        <f t="shared" si="3"/>
        <v/>
      </c>
      <c r="I44" s="35" t="str">
        <f t="shared" si="4"/>
        <v/>
      </c>
      <c r="J44" s="35" t="str">
        <f t="shared" si="5"/>
        <v/>
      </c>
      <c r="K44" s="35" t="str">
        <f t="shared" si="6"/>
        <v/>
      </c>
      <c r="L44" s="35" t="str">
        <f t="shared" si="7"/>
        <v/>
      </c>
      <c r="M44" s="35" t="str">
        <f t="shared" si="8"/>
        <v/>
      </c>
      <c r="N44" s="35" t="str">
        <f t="shared" si="9"/>
        <v/>
      </c>
      <c r="O44" s="35" t="str">
        <f t="shared" si="10"/>
        <v/>
      </c>
      <c r="P44" s="35" t="str">
        <f t="shared" si="11"/>
        <v/>
      </c>
      <c r="Q44" s="35" t="str">
        <f t="shared" si="12"/>
        <v>█</v>
      </c>
      <c r="R44" s="37">
        <f ca="1">'Maintenance PSURs'!O21</f>
        <v>115</v>
      </c>
    </row>
    <row r="45" spans="1:18" ht="15.95" customHeight="1" x14ac:dyDescent="0.25">
      <c r="A45" s="38" t="str">
        <f>'Maintenance PSURs'!C22</f>
        <v>PSUR071</v>
      </c>
      <c r="B45" s="38" t="str">
        <f>'Maintenance PSURs'!L22</f>
        <v>Jeff</v>
      </c>
      <c r="C45" s="38" t="str">
        <f>'Maintenance PSURs'!K22</f>
        <v>In progress</v>
      </c>
      <c r="D45" s="39">
        <f>'Maintenance PSURs'!J22</f>
        <v>46094</v>
      </c>
      <c r="E45" s="38" t="str">
        <f t="shared" si="0"/>
        <v/>
      </c>
      <c r="F45" s="38" t="str">
        <f t="shared" si="1"/>
        <v/>
      </c>
      <c r="G45" s="38" t="str">
        <f t="shared" si="2"/>
        <v/>
      </c>
      <c r="H45" s="38" t="str">
        <f t="shared" si="3"/>
        <v/>
      </c>
      <c r="I45" s="38" t="str">
        <f t="shared" si="4"/>
        <v>█</v>
      </c>
      <c r="J45" s="38" t="str">
        <f t="shared" si="5"/>
        <v/>
      </c>
      <c r="K45" s="38" t="str">
        <f t="shared" si="6"/>
        <v/>
      </c>
      <c r="L45" s="38" t="str">
        <f t="shared" si="7"/>
        <v/>
      </c>
      <c r="M45" s="38" t="str">
        <f t="shared" si="8"/>
        <v/>
      </c>
      <c r="N45" s="38" t="str">
        <f t="shared" si="9"/>
        <v/>
      </c>
      <c r="O45" s="38" t="str">
        <f t="shared" si="10"/>
        <v/>
      </c>
      <c r="P45" s="38" t="str">
        <f t="shared" si="11"/>
        <v/>
      </c>
      <c r="Q45" s="38" t="str">
        <f t="shared" si="12"/>
        <v/>
      </c>
      <c r="R45" s="40">
        <f ca="1">'Maintenance PSURs'!O22</f>
        <v>-24</v>
      </c>
    </row>
    <row r="46" spans="1:18" ht="15.95" customHeight="1" x14ac:dyDescent="0.25">
      <c r="A46" s="35" t="e">
        <f>'Maintenance PSURs'!#REF!</f>
        <v>#REF!</v>
      </c>
      <c r="B46" s="35" t="e">
        <f>'Maintenance PSURs'!#REF!</f>
        <v>#REF!</v>
      </c>
      <c r="C46" s="35" t="e">
        <f>'Maintenance PSURs'!#REF!</f>
        <v>#REF!</v>
      </c>
      <c r="D46" s="36" t="e">
        <f>'Maintenance PSURs'!#REF!</f>
        <v>#REF!</v>
      </c>
      <c r="E46" s="35" t="e">
        <f t="shared" si="0"/>
        <v>#REF!</v>
      </c>
      <c r="F46" s="35" t="e">
        <f t="shared" si="1"/>
        <v>#REF!</v>
      </c>
      <c r="G46" s="35" t="e">
        <f t="shared" si="2"/>
        <v>#REF!</v>
      </c>
      <c r="H46" s="35" t="e">
        <f t="shared" si="3"/>
        <v>#REF!</v>
      </c>
      <c r="I46" s="35" t="e">
        <f t="shared" si="4"/>
        <v>#REF!</v>
      </c>
      <c r="J46" s="35" t="e">
        <f t="shared" si="5"/>
        <v>#REF!</v>
      </c>
      <c r="K46" s="35" t="e">
        <f t="shared" si="6"/>
        <v>#REF!</v>
      </c>
      <c r="L46" s="35" t="e">
        <f t="shared" si="7"/>
        <v>#REF!</v>
      </c>
      <c r="M46" s="35" t="e">
        <f t="shared" si="8"/>
        <v>#REF!</v>
      </c>
      <c r="N46" s="35" t="e">
        <f t="shared" si="9"/>
        <v>#REF!</v>
      </c>
      <c r="O46" s="35" t="e">
        <f t="shared" si="10"/>
        <v>#REF!</v>
      </c>
      <c r="P46" s="35" t="e">
        <f t="shared" si="11"/>
        <v>#REF!</v>
      </c>
      <c r="Q46" s="35" t="e">
        <f t="shared" si="12"/>
        <v>#REF!</v>
      </c>
      <c r="R46" s="37" t="e">
        <f>'Maintenance PSURs'!#REF!</f>
        <v>#REF!</v>
      </c>
    </row>
    <row r="47" spans="1:18" ht="15.95" customHeight="1" x14ac:dyDescent="0.25">
      <c r="A47" s="38" t="str">
        <f>'Maintenance PSURs'!C23</f>
        <v>PSUR051</v>
      </c>
      <c r="B47" s="38" t="str">
        <f>'Maintenance PSURs'!L23</f>
        <v>Venkata</v>
      </c>
      <c r="C47" s="38" t="str">
        <f>'Maintenance PSURs'!K23</f>
        <v>Not Started</v>
      </c>
      <c r="D47" s="39">
        <f>'Maintenance PSURs'!J23</f>
        <v>46164</v>
      </c>
      <c r="E47" s="38" t="str">
        <f t="shared" si="0"/>
        <v/>
      </c>
      <c r="F47" s="38" t="str">
        <f t="shared" si="1"/>
        <v/>
      </c>
      <c r="G47" s="38" t="str">
        <f t="shared" si="2"/>
        <v/>
      </c>
      <c r="H47" s="38" t="str">
        <f t="shared" si="3"/>
        <v/>
      </c>
      <c r="I47" s="38" t="str">
        <f t="shared" si="4"/>
        <v/>
      </c>
      <c r="J47" s="38" t="str">
        <f t="shared" si="5"/>
        <v/>
      </c>
      <c r="K47" s="38" t="str">
        <f t="shared" si="6"/>
        <v/>
      </c>
      <c r="L47" s="38" t="str">
        <f t="shared" si="7"/>
        <v/>
      </c>
      <c r="M47" s="38" t="str">
        <f t="shared" si="8"/>
        <v/>
      </c>
      <c r="N47" s="38" t="str">
        <f t="shared" si="9"/>
        <v>█</v>
      </c>
      <c r="O47" s="38" t="str">
        <f t="shared" si="10"/>
        <v/>
      </c>
      <c r="P47" s="38" t="str">
        <f t="shared" si="11"/>
        <v/>
      </c>
      <c r="Q47" s="38" t="str">
        <f t="shared" si="12"/>
        <v/>
      </c>
      <c r="R47" s="40">
        <f ca="1">'Maintenance PSURs'!O23</f>
        <v>46</v>
      </c>
    </row>
    <row r="48" spans="1:18" ht="15.95" customHeight="1" x14ac:dyDescent="0.25">
      <c r="A48" s="35" t="e">
        <f>'Maintenance PSURs'!#REF!</f>
        <v>#REF!</v>
      </c>
      <c r="B48" s="35" t="e">
        <f>'Maintenance PSURs'!#REF!</f>
        <v>#REF!</v>
      </c>
      <c r="C48" s="35" t="e">
        <f>'Maintenance PSURs'!#REF!</f>
        <v>#REF!</v>
      </c>
      <c r="D48" s="36" t="e">
        <f>'Maintenance PSURs'!#REF!</f>
        <v>#REF!</v>
      </c>
      <c r="E48" s="35" t="e">
        <f t="shared" si="0"/>
        <v>#REF!</v>
      </c>
      <c r="F48" s="35" t="e">
        <f t="shared" si="1"/>
        <v>#REF!</v>
      </c>
      <c r="G48" s="35" t="e">
        <f t="shared" si="2"/>
        <v>#REF!</v>
      </c>
      <c r="H48" s="35" t="e">
        <f t="shared" si="3"/>
        <v>#REF!</v>
      </c>
      <c r="I48" s="35" t="e">
        <f t="shared" si="4"/>
        <v>#REF!</v>
      </c>
      <c r="J48" s="35" t="e">
        <f t="shared" si="5"/>
        <v>#REF!</v>
      </c>
      <c r="K48" s="35" t="e">
        <f t="shared" si="6"/>
        <v>#REF!</v>
      </c>
      <c r="L48" s="35" t="e">
        <f t="shared" si="7"/>
        <v>#REF!</v>
      </c>
      <c r="M48" s="35" t="e">
        <f t="shared" si="8"/>
        <v>#REF!</v>
      </c>
      <c r="N48" s="35" t="e">
        <f t="shared" si="9"/>
        <v>#REF!</v>
      </c>
      <c r="O48" s="35" t="e">
        <f t="shared" si="10"/>
        <v>#REF!</v>
      </c>
      <c r="P48" s="35" t="e">
        <f t="shared" si="11"/>
        <v>#REF!</v>
      </c>
      <c r="Q48" s="35" t="e">
        <f t="shared" si="12"/>
        <v>#REF!</v>
      </c>
      <c r="R48" s="37" t="e">
        <f>'Maintenance PSURs'!#REF!</f>
        <v>#REF!</v>
      </c>
    </row>
    <row r="49" spans="1:18" ht="15.95" customHeight="1" x14ac:dyDescent="0.25">
      <c r="A49" s="38" t="str">
        <f>'Maintenance PSURs'!C24</f>
        <v>PSUR077</v>
      </c>
      <c r="B49" s="38" t="str">
        <f>'Maintenance PSURs'!L24</f>
        <v>Venkata</v>
      </c>
      <c r="C49" s="38" t="str">
        <f>'Maintenance PSURs'!K24</f>
        <v>In progress</v>
      </c>
      <c r="D49" s="39">
        <f>'Maintenance PSURs'!J24</f>
        <v>46073</v>
      </c>
      <c r="E49" s="38" t="str">
        <f t="shared" si="0"/>
        <v/>
      </c>
      <c r="F49" s="38" t="str">
        <f t="shared" si="1"/>
        <v/>
      </c>
      <c r="G49" s="38" t="str">
        <f t="shared" si="2"/>
        <v/>
      </c>
      <c r="H49" s="38" t="str">
        <f t="shared" si="3"/>
        <v>█</v>
      </c>
      <c r="I49" s="38" t="str">
        <f t="shared" si="4"/>
        <v/>
      </c>
      <c r="J49" s="38" t="str">
        <f t="shared" si="5"/>
        <v/>
      </c>
      <c r="K49" s="38" t="str">
        <f t="shared" si="6"/>
        <v/>
      </c>
      <c r="L49" s="38" t="str">
        <f t="shared" si="7"/>
        <v/>
      </c>
      <c r="M49" s="38" t="str">
        <f t="shared" si="8"/>
        <v/>
      </c>
      <c r="N49" s="38" t="str">
        <f t="shared" si="9"/>
        <v/>
      </c>
      <c r="O49" s="38" t="str">
        <f t="shared" si="10"/>
        <v/>
      </c>
      <c r="P49" s="38" t="str">
        <f t="shared" si="11"/>
        <v/>
      </c>
      <c r="Q49" s="38" t="str">
        <f t="shared" si="12"/>
        <v/>
      </c>
      <c r="R49" s="40">
        <f ca="1">'Maintenance PSURs'!O24</f>
        <v>-45</v>
      </c>
    </row>
    <row r="50" spans="1:18" ht="15.95" customHeight="1" x14ac:dyDescent="0.25">
      <c r="A50" s="35" t="str">
        <f>'Maintenance PSURs'!C25</f>
        <v>PSUR058</v>
      </c>
      <c r="B50" s="35" t="str">
        <f>'Maintenance PSURs'!L25</f>
        <v>Jeff</v>
      </c>
      <c r="C50" s="35" t="str">
        <f>'Maintenance PSURs'!K25</f>
        <v>Not Started</v>
      </c>
      <c r="D50" s="36">
        <f>'Maintenance PSURs'!J25</f>
        <v>46186</v>
      </c>
      <c r="E50" s="35" t="str">
        <f t="shared" si="0"/>
        <v/>
      </c>
      <c r="F50" s="35" t="str">
        <f t="shared" si="1"/>
        <v/>
      </c>
      <c r="G50" s="35" t="str">
        <f t="shared" si="2"/>
        <v/>
      </c>
      <c r="H50" s="35" t="str">
        <f t="shared" si="3"/>
        <v/>
      </c>
      <c r="I50" s="35" t="str">
        <f t="shared" si="4"/>
        <v/>
      </c>
      <c r="J50" s="35" t="str">
        <f t="shared" si="5"/>
        <v/>
      </c>
      <c r="K50" s="35" t="str">
        <f t="shared" si="6"/>
        <v/>
      </c>
      <c r="L50" s="35" t="str">
        <f t="shared" si="7"/>
        <v/>
      </c>
      <c r="M50" s="35" t="str">
        <f t="shared" si="8"/>
        <v/>
      </c>
      <c r="N50" s="35" t="str">
        <f t="shared" si="9"/>
        <v/>
      </c>
      <c r="O50" s="35" t="str">
        <f t="shared" si="10"/>
        <v>█</v>
      </c>
      <c r="P50" s="35" t="str">
        <f t="shared" si="11"/>
        <v/>
      </c>
      <c r="Q50" s="35" t="str">
        <f t="shared" si="12"/>
        <v/>
      </c>
      <c r="R50" s="37">
        <f ca="1">'Maintenance PSURs'!O25</f>
        <v>68</v>
      </c>
    </row>
    <row r="51" spans="1:18" ht="15.95" customHeight="1" x14ac:dyDescent="0.25">
      <c r="A51" s="38" t="str">
        <f>'Maintenance PSURs'!C26</f>
        <v>PSUR060</v>
      </c>
      <c r="B51" s="38" t="str">
        <f>'Maintenance PSURs'!L26</f>
        <v>TBD</v>
      </c>
      <c r="C51" s="38" t="str">
        <f>'Maintenance PSURs'!K26</f>
        <v>Not Started</v>
      </c>
      <c r="D51" s="39">
        <f>'Maintenance PSURs'!J26</f>
        <v>46262</v>
      </c>
      <c r="E51" s="38" t="str">
        <f t="shared" si="0"/>
        <v/>
      </c>
      <c r="F51" s="38" t="str">
        <f t="shared" si="1"/>
        <v/>
      </c>
      <c r="G51" s="38" t="str">
        <f t="shared" si="2"/>
        <v/>
      </c>
      <c r="H51" s="38" t="str">
        <f t="shared" si="3"/>
        <v/>
      </c>
      <c r="I51" s="38" t="str">
        <f t="shared" si="4"/>
        <v/>
      </c>
      <c r="J51" s="38" t="str">
        <f t="shared" si="5"/>
        <v/>
      </c>
      <c r="K51" s="38" t="str">
        <f t="shared" si="6"/>
        <v/>
      </c>
      <c r="L51" s="38" t="str">
        <f t="shared" si="7"/>
        <v/>
      </c>
      <c r="M51" s="38" t="str">
        <f t="shared" si="8"/>
        <v/>
      </c>
      <c r="N51" s="38" t="str">
        <f t="shared" si="9"/>
        <v/>
      </c>
      <c r="O51" s="38" t="str">
        <f t="shared" si="10"/>
        <v/>
      </c>
      <c r="P51" s="38" t="str">
        <f t="shared" si="11"/>
        <v/>
      </c>
      <c r="Q51" s="38" t="str">
        <f t="shared" si="12"/>
        <v>█</v>
      </c>
      <c r="R51" s="40">
        <f ca="1">'Maintenance PSURs'!O26</f>
        <v>144</v>
      </c>
    </row>
    <row r="52" spans="1:18" ht="15.95" customHeight="1" x14ac:dyDescent="0.25">
      <c r="A52" s="35" t="str">
        <f>'Maintenance PSURs'!C27</f>
        <v>PSUR081</v>
      </c>
      <c r="B52" s="35" t="str">
        <f>'Maintenance PSURs'!L27</f>
        <v>Terence</v>
      </c>
      <c r="C52" s="35" t="str">
        <f>'Maintenance PSURs'!K27</f>
        <v>In progress</v>
      </c>
      <c r="D52" s="36">
        <f>'Maintenance PSURs'!J27</f>
        <v>46087</v>
      </c>
      <c r="E52" s="35" t="str">
        <f t="shared" si="0"/>
        <v/>
      </c>
      <c r="F52" s="35" t="str">
        <f t="shared" si="1"/>
        <v/>
      </c>
      <c r="G52" s="35" t="str">
        <f t="shared" si="2"/>
        <v/>
      </c>
      <c r="H52" s="35" t="str">
        <f t="shared" si="3"/>
        <v/>
      </c>
      <c r="I52" s="35" t="str">
        <f t="shared" si="4"/>
        <v>█</v>
      </c>
      <c r="J52" s="35" t="str">
        <f t="shared" si="5"/>
        <v/>
      </c>
      <c r="K52" s="35" t="str">
        <f t="shared" si="6"/>
        <v/>
      </c>
      <c r="L52" s="35" t="str">
        <f t="shared" si="7"/>
        <v/>
      </c>
      <c r="M52" s="35" t="str">
        <f t="shared" si="8"/>
        <v/>
      </c>
      <c r="N52" s="35" t="str">
        <f t="shared" si="9"/>
        <v/>
      </c>
      <c r="O52" s="35" t="str">
        <f t="shared" si="10"/>
        <v/>
      </c>
      <c r="P52" s="35" t="str">
        <f t="shared" si="11"/>
        <v/>
      </c>
      <c r="Q52" s="35" t="str">
        <f t="shared" si="12"/>
        <v/>
      </c>
      <c r="R52" s="37">
        <f ca="1">'Maintenance PSURs'!O27</f>
        <v>-31</v>
      </c>
    </row>
    <row r="53" spans="1:18" ht="15.95" customHeight="1" x14ac:dyDescent="0.25">
      <c r="A53" s="38" t="str">
        <f>'Maintenance PSURs'!C28</f>
        <v>PSUR087</v>
      </c>
      <c r="B53" s="38" t="str">
        <f>'Maintenance PSURs'!L28</f>
        <v>Jeff</v>
      </c>
      <c r="C53" s="38" t="str">
        <f>'Maintenance PSURs'!K28</f>
        <v>Not Started</v>
      </c>
      <c r="D53" s="39">
        <f>'Maintenance PSURs'!J28</f>
        <v>46199</v>
      </c>
      <c r="E53" s="38" t="str">
        <f t="shared" si="0"/>
        <v/>
      </c>
      <c r="F53" s="38" t="str">
        <f t="shared" si="1"/>
        <v/>
      </c>
      <c r="G53" s="38" t="str">
        <f t="shared" si="2"/>
        <v/>
      </c>
      <c r="H53" s="38" t="str">
        <f t="shared" si="3"/>
        <v/>
      </c>
      <c r="I53" s="38" t="str">
        <f t="shared" si="4"/>
        <v/>
      </c>
      <c r="J53" s="38" t="str">
        <f t="shared" si="5"/>
        <v/>
      </c>
      <c r="K53" s="38" t="str">
        <f t="shared" si="6"/>
        <v/>
      </c>
      <c r="L53" s="38" t="str">
        <f t="shared" si="7"/>
        <v/>
      </c>
      <c r="M53" s="38" t="str">
        <f t="shared" si="8"/>
        <v/>
      </c>
      <c r="N53" s="38" t="str">
        <f t="shared" si="9"/>
        <v/>
      </c>
      <c r="O53" s="38" t="str">
        <f t="shared" si="10"/>
        <v/>
      </c>
      <c r="P53" s="38" t="str">
        <f t="shared" si="11"/>
        <v>█</v>
      </c>
      <c r="Q53" s="38" t="str">
        <f t="shared" si="12"/>
        <v/>
      </c>
      <c r="R53" s="40">
        <f ca="1">'Maintenance PSURs'!O28</f>
        <v>81</v>
      </c>
    </row>
    <row r="54" spans="1:18" ht="15.95" customHeight="1" x14ac:dyDescent="0.25">
      <c r="A54" s="35" t="str">
        <f>'Maintenance PSURs'!C29</f>
        <v>PSUR069</v>
      </c>
      <c r="B54" s="35" t="str">
        <f>'Maintenance PSURs'!L29</f>
        <v>Venkata</v>
      </c>
      <c r="C54" s="35" t="str">
        <f>'Maintenance PSURs'!K29</f>
        <v>Not Started</v>
      </c>
      <c r="D54" s="36">
        <f>'Maintenance PSURs'!J29</f>
        <v>46179</v>
      </c>
      <c r="E54" s="35" t="str">
        <f t="shared" si="0"/>
        <v/>
      </c>
      <c r="F54" s="35" t="str">
        <f t="shared" si="1"/>
        <v/>
      </c>
      <c r="G54" s="35" t="str">
        <f t="shared" si="2"/>
        <v/>
      </c>
      <c r="H54" s="35" t="str">
        <f t="shared" si="3"/>
        <v/>
      </c>
      <c r="I54" s="35" t="str">
        <f t="shared" si="4"/>
        <v/>
      </c>
      <c r="J54" s="35" t="str">
        <f t="shared" si="5"/>
        <v/>
      </c>
      <c r="K54" s="35" t="str">
        <f t="shared" si="6"/>
        <v/>
      </c>
      <c r="L54" s="35" t="str">
        <f t="shared" si="7"/>
        <v/>
      </c>
      <c r="M54" s="35" t="str">
        <f t="shared" si="8"/>
        <v/>
      </c>
      <c r="N54" s="35" t="str">
        <f t="shared" si="9"/>
        <v/>
      </c>
      <c r="O54" s="35" t="str">
        <f t="shared" si="10"/>
        <v>█</v>
      </c>
      <c r="P54" s="35" t="str">
        <f t="shared" si="11"/>
        <v/>
      </c>
      <c r="Q54" s="35" t="str">
        <f t="shared" si="12"/>
        <v/>
      </c>
      <c r="R54" s="37">
        <f ca="1">'Maintenance PSURs'!O29</f>
        <v>61</v>
      </c>
    </row>
    <row r="55" spans="1:18" ht="15.95" customHeight="1" x14ac:dyDescent="0.25">
      <c r="A55" s="38" t="str">
        <f>'Maintenance PSURs'!C30</f>
        <v>PSUR082</v>
      </c>
      <c r="B55" s="38" t="str">
        <f>'Maintenance PSURs'!L30</f>
        <v>Venkata</v>
      </c>
      <c r="C55" s="38" t="str">
        <f>'Maintenance PSURs'!K30</f>
        <v>Completed</v>
      </c>
      <c r="D55" s="39">
        <f>'Maintenance PSURs'!J30</f>
        <v>46076</v>
      </c>
      <c r="E55" s="38" t="str">
        <f t="shared" si="0"/>
        <v/>
      </c>
      <c r="F55" s="38" t="str">
        <f t="shared" si="1"/>
        <v/>
      </c>
      <c r="G55" s="38" t="str">
        <f t="shared" si="2"/>
        <v/>
      </c>
      <c r="H55" s="38" t="str">
        <f t="shared" si="3"/>
        <v>█</v>
      </c>
      <c r="I55" s="38" t="str">
        <f t="shared" si="4"/>
        <v/>
      </c>
      <c r="J55" s="38" t="str">
        <f t="shared" si="5"/>
        <v/>
      </c>
      <c r="K55" s="38" t="str">
        <f t="shared" si="6"/>
        <v/>
      </c>
      <c r="L55" s="38" t="str">
        <f t="shared" si="7"/>
        <v/>
      </c>
      <c r="M55" s="38" t="str">
        <f t="shared" si="8"/>
        <v/>
      </c>
      <c r="N55" s="38" t="str">
        <f t="shared" si="9"/>
        <v/>
      </c>
      <c r="O55" s="38" t="str">
        <f t="shared" si="10"/>
        <v/>
      </c>
      <c r="P55" s="38" t="str">
        <f t="shared" si="11"/>
        <v/>
      </c>
      <c r="Q55" s="38" t="str">
        <f t="shared" si="12"/>
        <v/>
      </c>
      <c r="R55" s="40" t="str">
        <f ca="1">'Maintenance PSURs'!O30</f>
        <v>-</v>
      </c>
    </row>
    <row r="56" spans="1:18" ht="15.95" customHeight="1" x14ac:dyDescent="0.25">
      <c r="A56" s="35" t="str">
        <f>'Maintenance PSURs'!C31</f>
        <v>PSUR068</v>
      </c>
      <c r="B56" s="35" t="str">
        <f>'Maintenance PSURs'!L31</f>
        <v>Jeff</v>
      </c>
      <c r="C56" s="35" t="str">
        <f>'Maintenance PSURs'!K31</f>
        <v>Not Started</v>
      </c>
      <c r="D56" s="36" t="str">
        <f>'Maintenance PSURs'!J31</f>
        <v>04/30/2026 - Immediate</v>
      </c>
      <c r="E56" s="35" t="str">
        <f t="shared" si="0"/>
        <v/>
      </c>
      <c r="F56" s="35" t="str">
        <f t="shared" si="1"/>
        <v/>
      </c>
      <c r="G56" s="35" t="str">
        <f t="shared" si="2"/>
        <v/>
      </c>
      <c r="H56" s="35" t="str">
        <f t="shared" si="3"/>
        <v/>
      </c>
      <c r="I56" s="35" t="str">
        <f t="shared" si="4"/>
        <v/>
      </c>
      <c r="J56" s="35" t="str">
        <f t="shared" si="5"/>
        <v/>
      </c>
      <c r="K56" s="35" t="str">
        <f t="shared" si="6"/>
        <v/>
      </c>
      <c r="L56" s="35" t="str">
        <f t="shared" si="7"/>
        <v/>
      </c>
      <c r="M56" s="35" t="str">
        <f t="shared" si="8"/>
        <v/>
      </c>
      <c r="N56" s="35" t="str">
        <f t="shared" si="9"/>
        <v/>
      </c>
      <c r="O56" s="35" t="str">
        <f t="shared" si="10"/>
        <v/>
      </c>
      <c r="P56" s="35" t="str">
        <f t="shared" si="11"/>
        <v/>
      </c>
      <c r="Q56" s="35" t="str">
        <f t="shared" si="12"/>
        <v/>
      </c>
      <c r="R56" s="37" t="str">
        <f ca="1">'Maintenance PSURs'!O31</f>
        <v>N/A</v>
      </c>
    </row>
    <row r="57" spans="1:18" ht="15.95" customHeight="1" x14ac:dyDescent="0.25">
      <c r="A57" s="38" t="str">
        <f>'Maintenance PSURs'!C32</f>
        <v>PSUR073</v>
      </c>
      <c r="B57" s="38" t="str">
        <f>'Maintenance PSURs'!L32</f>
        <v>TBD</v>
      </c>
      <c r="C57" s="38" t="str">
        <f>'Maintenance PSURs'!K32</f>
        <v>Not Started</v>
      </c>
      <c r="D57" s="39">
        <f>'Maintenance PSURs'!J32</f>
        <v>46241</v>
      </c>
      <c r="E57" s="38" t="str">
        <f t="shared" si="0"/>
        <v/>
      </c>
      <c r="F57" s="38" t="str">
        <f t="shared" si="1"/>
        <v/>
      </c>
      <c r="G57" s="38" t="str">
        <f t="shared" si="2"/>
        <v/>
      </c>
      <c r="H57" s="38" t="str">
        <f t="shared" si="3"/>
        <v/>
      </c>
      <c r="I57" s="38" t="str">
        <f t="shared" si="4"/>
        <v/>
      </c>
      <c r="J57" s="38" t="str">
        <f t="shared" si="5"/>
        <v/>
      </c>
      <c r="K57" s="38" t="str">
        <f t="shared" si="6"/>
        <v/>
      </c>
      <c r="L57" s="38" t="str">
        <f t="shared" si="7"/>
        <v/>
      </c>
      <c r="M57" s="38" t="str">
        <f t="shared" si="8"/>
        <v/>
      </c>
      <c r="N57" s="38" t="str">
        <f t="shared" si="9"/>
        <v/>
      </c>
      <c r="O57" s="38" t="str">
        <f t="shared" si="10"/>
        <v/>
      </c>
      <c r="P57" s="38" t="str">
        <f t="shared" si="11"/>
        <v/>
      </c>
      <c r="Q57" s="38" t="str">
        <f t="shared" si="12"/>
        <v>█</v>
      </c>
      <c r="R57" s="40">
        <f ca="1">'Maintenance PSURs'!O32</f>
        <v>123</v>
      </c>
    </row>
    <row r="58" spans="1:18" ht="15.95" customHeight="1" x14ac:dyDescent="0.25">
      <c r="A58" s="35" t="str">
        <f>'Maintenance PSURs'!C33</f>
        <v>PSUR083</v>
      </c>
      <c r="B58" s="35" t="str">
        <f>'Maintenance PSURs'!L33</f>
        <v>Jeff</v>
      </c>
      <c r="C58" s="35" t="str">
        <f>'Maintenance PSURs'!K33</f>
        <v>In progress</v>
      </c>
      <c r="D58" s="36">
        <f>'Maintenance PSURs'!J33</f>
        <v>46108</v>
      </c>
      <c r="E58" s="35" t="str">
        <f t="shared" si="0"/>
        <v/>
      </c>
      <c r="F58" s="35" t="str">
        <f t="shared" si="1"/>
        <v/>
      </c>
      <c r="G58" s="35" t="str">
        <f t="shared" si="2"/>
        <v/>
      </c>
      <c r="H58" s="35" t="str">
        <f t="shared" si="3"/>
        <v/>
      </c>
      <c r="I58" s="35" t="str">
        <f t="shared" si="4"/>
        <v/>
      </c>
      <c r="J58" s="35" t="str">
        <f t="shared" si="5"/>
        <v>█</v>
      </c>
      <c r="K58" s="35" t="str">
        <f t="shared" si="6"/>
        <v/>
      </c>
      <c r="L58" s="35" t="str">
        <f t="shared" si="7"/>
        <v/>
      </c>
      <c r="M58" s="35" t="str">
        <f t="shared" si="8"/>
        <v/>
      </c>
      <c r="N58" s="35" t="str">
        <f t="shared" si="9"/>
        <v/>
      </c>
      <c r="O58" s="35" t="str">
        <f t="shared" si="10"/>
        <v/>
      </c>
      <c r="P58" s="35" t="str">
        <f t="shared" si="11"/>
        <v/>
      </c>
      <c r="Q58" s="35" t="str">
        <f t="shared" si="12"/>
        <v/>
      </c>
      <c r="R58" s="37">
        <f ca="1">'Maintenance PSURs'!O33</f>
        <v>-10</v>
      </c>
    </row>
    <row r="59" spans="1:18" ht="15.95" customHeight="1" x14ac:dyDescent="0.25">
      <c r="A59" s="38" t="e">
        <f>'Maintenance PSURs'!#REF!</f>
        <v>#REF!</v>
      </c>
      <c r="B59" s="38" t="e">
        <f>'Maintenance PSURs'!#REF!</f>
        <v>#REF!</v>
      </c>
      <c r="C59" s="38" t="e">
        <f>'Maintenance PSURs'!#REF!</f>
        <v>#REF!</v>
      </c>
      <c r="D59" s="39" t="e">
        <f>'Maintenance PSURs'!#REF!</f>
        <v>#REF!</v>
      </c>
      <c r="E59" s="38" t="e">
        <f t="shared" si="0"/>
        <v>#REF!</v>
      </c>
      <c r="F59" s="38" t="e">
        <f t="shared" si="1"/>
        <v>#REF!</v>
      </c>
      <c r="G59" s="38" t="e">
        <f t="shared" si="2"/>
        <v>#REF!</v>
      </c>
      <c r="H59" s="38" t="e">
        <f t="shared" si="3"/>
        <v>#REF!</v>
      </c>
      <c r="I59" s="38" t="e">
        <f t="shared" si="4"/>
        <v>#REF!</v>
      </c>
      <c r="J59" s="38" t="e">
        <f t="shared" si="5"/>
        <v>#REF!</v>
      </c>
      <c r="K59" s="38" t="e">
        <f t="shared" si="6"/>
        <v>#REF!</v>
      </c>
      <c r="L59" s="38" t="e">
        <f t="shared" si="7"/>
        <v>#REF!</v>
      </c>
      <c r="M59" s="38" t="e">
        <f t="shared" si="8"/>
        <v>#REF!</v>
      </c>
      <c r="N59" s="38" t="e">
        <f t="shared" si="9"/>
        <v>#REF!</v>
      </c>
      <c r="O59" s="38" t="e">
        <f t="shared" si="10"/>
        <v>#REF!</v>
      </c>
      <c r="P59" s="38" t="e">
        <f t="shared" si="11"/>
        <v>#REF!</v>
      </c>
      <c r="Q59" s="38" t="e">
        <f t="shared" si="12"/>
        <v>#REF!</v>
      </c>
      <c r="R59" s="40" t="e">
        <f>'Maintenance PSURs'!#REF!</f>
        <v>#REF!</v>
      </c>
    </row>
    <row r="60" spans="1:18" ht="15.95" customHeight="1" x14ac:dyDescent="0.25">
      <c r="A60" s="35" t="e">
        <f>'Maintenance PSURs'!#REF!</f>
        <v>#REF!</v>
      </c>
      <c r="B60" s="35" t="e">
        <f>'Maintenance PSURs'!#REF!</f>
        <v>#REF!</v>
      </c>
      <c r="C60" s="35" t="e">
        <f>'Maintenance PSURs'!#REF!</f>
        <v>#REF!</v>
      </c>
      <c r="D60" s="36" t="e">
        <f>'Maintenance PSURs'!#REF!</f>
        <v>#REF!</v>
      </c>
      <c r="E60" s="35" t="e">
        <f t="shared" si="0"/>
        <v>#REF!</v>
      </c>
      <c r="F60" s="35" t="e">
        <f t="shared" si="1"/>
        <v>#REF!</v>
      </c>
      <c r="G60" s="35" t="e">
        <f t="shared" si="2"/>
        <v>#REF!</v>
      </c>
      <c r="H60" s="35" t="e">
        <f t="shared" si="3"/>
        <v>#REF!</v>
      </c>
      <c r="I60" s="35" t="e">
        <f t="shared" si="4"/>
        <v>#REF!</v>
      </c>
      <c r="J60" s="35" t="e">
        <f t="shared" si="5"/>
        <v>#REF!</v>
      </c>
      <c r="K60" s="35" t="e">
        <f t="shared" si="6"/>
        <v>#REF!</v>
      </c>
      <c r="L60" s="35" t="e">
        <f t="shared" si="7"/>
        <v>#REF!</v>
      </c>
      <c r="M60" s="35" t="e">
        <f t="shared" si="8"/>
        <v>#REF!</v>
      </c>
      <c r="N60" s="35" t="e">
        <f t="shared" si="9"/>
        <v>#REF!</v>
      </c>
      <c r="O60" s="35" t="e">
        <f t="shared" si="10"/>
        <v>#REF!</v>
      </c>
      <c r="P60" s="35" t="e">
        <f t="shared" si="11"/>
        <v>#REF!</v>
      </c>
      <c r="Q60" s="35" t="e">
        <f t="shared" si="12"/>
        <v>#REF!</v>
      </c>
      <c r="R60" s="37" t="e">
        <f>'Maintenance PSURs'!#REF!</f>
        <v>#REF!</v>
      </c>
    </row>
    <row r="61" spans="1:18" ht="15.95" customHeight="1" x14ac:dyDescent="0.25">
      <c r="A61" s="38" t="e">
        <f>'Maintenance PSURs'!#REF!</f>
        <v>#REF!</v>
      </c>
      <c r="B61" s="38" t="e">
        <f>'Maintenance PSURs'!#REF!</f>
        <v>#REF!</v>
      </c>
      <c r="C61" s="38" t="e">
        <f>'Maintenance PSURs'!#REF!</f>
        <v>#REF!</v>
      </c>
      <c r="D61" s="39" t="e">
        <f>'Maintenance PSURs'!#REF!</f>
        <v>#REF!</v>
      </c>
      <c r="E61" s="38" t="e">
        <f t="shared" si="0"/>
        <v>#REF!</v>
      </c>
      <c r="F61" s="38" t="e">
        <f t="shared" si="1"/>
        <v>#REF!</v>
      </c>
      <c r="G61" s="38" t="e">
        <f t="shared" si="2"/>
        <v>#REF!</v>
      </c>
      <c r="H61" s="38" t="e">
        <f t="shared" si="3"/>
        <v>#REF!</v>
      </c>
      <c r="I61" s="38" t="e">
        <f t="shared" si="4"/>
        <v>#REF!</v>
      </c>
      <c r="J61" s="38" t="e">
        <f t="shared" si="5"/>
        <v>#REF!</v>
      </c>
      <c r="K61" s="38" t="e">
        <f t="shared" si="6"/>
        <v>#REF!</v>
      </c>
      <c r="L61" s="38" t="e">
        <f t="shared" si="7"/>
        <v>#REF!</v>
      </c>
      <c r="M61" s="38" t="e">
        <f t="shared" si="8"/>
        <v>#REF!</v>
      </c>
      <c r="N61" s="38" t="e">
        <f t="shared" si="9"/>
        <v>#REF!</v>
      </c>
      <c r="O61" s="38" t="e">
        <f t="shared" si="10"/>
        <v>#REF!</v>
      </c>
      <c r="P61" s="38" t="e">
        <f t="shared" si="11"/>
        <v>#REF!</v>
      </c>
      <c r="Q61" s="38" t="e">
        <f t="shared" si="12"/>
        <v>#REF!</v>
      </c>
      <c r="R61" s="40" t="e">
        <f>'Maintenance PSURs'!#REF!</f>
        <v>#REF!</v>
      </c>
    </row>
    <row r="62" spans="1:18" ht="15.95" customHeight="1" x14ac:dyDescent="0.25">
      <c r="A62" s="35" t="str">
        <f>'Maintenance PSURs'!C34</f>
        <v>PMS007R</v>
      </c>
      <c r="B62" s="35" t="str">
        <f>'Maintenance PSURs'!L34</f>
        <v>Jeff</v>
      </c>
      <c r="C62" s="35" t="str">
        <f>'Maintenance PSURs'!K34</f>
        <v>Not Started</v>
      </c>
      <c r="D62" s="36" t="str">
        <f>'Maintenance PSURs'!J34</f>
        <v>2026-01-03</v>
      </c>
      <c r="E62" s="35" t="str">
        <f t="shared" si="0"/>
        <v/>
      </c>
      <c r="F62" s="35" t="str">
        <f t="shared" si="1"/>
        <v/>
      </c>
      <c r="G62" s="35" t="str">
        <f t="shared" si="2"/>
        <v/>
      </c>
      <c r="H62" s="35" t="str">
        <f t="shared" si="3"/>
        <v/>
      </c>
      <c r="I62" s="35" t="str">
        <f t="shared" si="4"/>
        <v/>
      </c>
      <c r="J62" s="35" t="str">
        <f t="shared" si="5"/>
        <v/>
      </c>
      <c r="K62" s="35" t="str">
        <f t="shared" si="6"/>
        <v/>
      </c>
      <c r="L62" s="35" t="str">
        <f t="shared" si="7"/>
        <v/>
      </c>
      <c r="M62" s="35" t="str">
        <f t="shared" si="8"/>
        <v/>
      </c>
      <c r="N62" s="35" t="str">
        <f t="shared" si="9"/>
        <v/>
      </c>
      <c r="O62" s="35" t="str">
        <f t="shared" si="10"/>
        <v/>
      </c>
      <c r="P62" s="35" t="str">
        <f t="shared" si="11"/>
        <v/>
      </c>
      <c r="Q62" s="35" t="str">
        <f t="shared" si="12"/>
        <v/>
      </c>
      <c r="R62" s="37" t="str">
        <f ca="1">'Maintenance PSURs'!O34</f>
        <v>N/A</v>
      </c>
    </row>
    <row r="63" spans="1:18" ht="15.95" customHeight="1" x14ac:dyDescent="0.25">
      <c r="A63" s="38" t="str">
        <f>'Maintenance PSURs'!C35</f>
        <v>PSUR059</v>
      </c>
      <c r="B63" s="38" t="str">
        <f>'Maintenance PSURs'!L35</f>
        <v>Jeff</v>
      </c>
      <c r="C63" s="38" t="str">
        <f>'Maintenance PSURs'!K35</f>
        <v>Not Started</v>
      </c>
      <c r="D63" s="39" t="str">
        <f>'Maintenance PSURs'!J35</f>
        <v>4/30/2026 - Immediate</v>
      </c>
      <c r="E63" s="38" t="str">
        <f t="shared" si="0"/>
        <v/>
      </c>
      <c r="F63" s="38" t="str">
        <f t="shared" si="1"/>
        <v/>
      </c>
      <c r="G63" s="38" t="str">
        <f t="shared" si="2"/>
        <v/>
      </c>
      <c r="H63" s="38" t="str">
        <f t="shared" si="3"/>
        <v/>
      </c>
      <c r="I63" s="38" t="str">
        <f t="shared" si="4"/>
        <v/>
      </c>
      <c r="J63" s="38" t="str">
        <f t="shared" si="5"/>
        <v/>
      </c>
      <c r="K63" s="38" t="str">
        <f t="shared" si="6"/>
        <v/>
      </c>
      <c r="L63" s="38" t="str">
        <f t="shared" si="7"/>
        <v/>
      </c>
      <c r="M63" s="38" t="str">
        <f t="shared" si="8"/>
        <v/>
      </c>
      <c r="N63" s="38" t="str">
        <f t="shared" si="9"/>
        <v/>
      </c>
      <c r="O63" s="38" t="str">
        <f t="shared" si="10"/>
        <v/>
      </c>
      <c r="P63" s="38" t="str">
        <f t="shared" si="11"/>
        <v/>
      </c>
      <c r="Q63" s="38" t="str">
        <f t="shared" si="12"/>
        <v/>
      </c>
      <c r="R63" s="40" t="str">
        <f ca="1">'Maintenance PSURs'!O35</f>
        <v>N/A</v>
      </c>
    </row>
    <row r="64" spans="1:18" ht="15.95" customHeight="1" x14ac:dyDescent="0.25">
      <c r="A64" s="35" t="e">
        <f>'Maintenance PSURs'!#REF!</f>
        <v>#REF!</v>
      </c>
      <c r="B64" s="35" t="e">
        <f>'Maintenance PSURs'!#REF!</f>
        <v>#REF!</v>
      </c>
      <c r="C64" s="35" t="e">
        <f>'Maintenance PSURs'!#REF!</f>
        <v>#REF!</v>
      </c>
      <c r="D64" s="36" t="e">
        <f>'Maintenance PSURs'!#REF!</f>
        <v>#REF!</v>
      </c>
      <c r="E64" s="35" t="e">
        <f t="shared" si="0"/>
        <v>#REF!</v>
      </c>
      <c r="F64" s="35" t="e">
        <f t="shared" si="1"/>
        <v>#REF!</v>
      </c>
      <c r="G64" s="35" t="e">
        <f t="shared" si="2"/>
        <v>#REF!</v>
      </c>
      <c r="H64" s="35" t="e">
        <f t="shared" si="3"/>
        <v>#REF!</v>
      </c>
      <c r="I64" s="35" t="e">
        <f t="shared" si="4"/>
        <v>#REF!</v>
      </c>
      <c r="J64" s="35" t="e">
        <f t="shared" si="5"/>
        <v>#REF!</v>
      </c>
      <c r="K64" s="35" t="e">
        <f t="shared" si="6"/>
        <v>#REF!</v>
      </c>
      <c r="L64" s="35" t="e">
        <f t="shared" si="7"/>
        <v>#REF!</v>
      </c>
      <c r="M64" s="35" t="e">
        <f t="shared" si="8"/>
        <v>#REF!</v>
      </c>
      <c r="N64" s="35" t="e">
        <f t="shared" si="9"/>
        <v>#REF!</v>
      </c>
      <c r="O64" s="35" t="e">
        <f t="shared" si="10"/>
        <v>#REF!</v>
      </c>
      <c r="P64" s="35" t="e">
        <f t="shared" si="11"/>
        <v>#REF!</v>
      </c>
      <c r="Q64" s="35" t="e">
        <f t="shared" si="12"/>
        <v>#REF!</v>
      </c>
      <c r="R64" s="37" t="e">
        <f>'Maintenance PSURs'!#REF!</f>
        <v>#REF!</v>
      </c>
    </row>
    <row r="65" spans="1:18" ht="15.95" customHeight="1" x14ac:dyDescent="0.25">
      <c r="A65" s="38" t="e">
        <f>'Maintenance PSURs'!#REF!</f>
        <v>#REF!</v>
      </c>
      <c r="B65" s="38" t="e">
        <f>'Maintenance PSURs'!#REF!</f>
        <v>#REF!</v>
      </c>
      <c r="C65" s="38" t="e">
        <f>'Maintenance PSURs'!#REF!</f>
        <v>#REF!</v>
      </c>
      <c r="D65" s="39" t="e">
        <f>'Maintenance PSURs'!#REF!</f>
        <v>#REF!</v>
      </c>
      <c r="E65" s="38" t="e">
        <f t="shared" si="0"/>
        <v>#REF!</v>
      </c>
      <c r="F65" s="38" t="e">
        <f t="shared" si="1"/>
        <v>#REF!</v>
      </c>
      <c r="G65" s="38" t="e">
        <f t="shared" si="2"/>
        <v>#REF!</v>
      </c>
      <c r="H65" s="38" t="e">
        <f t="shared" si="3"/>
        <v>#REF!</v>
      </c>
      <c r="I65" s="38" t="e">
        <f t="shared" si="4"/>
        <v>#REF!</v>
      </c>
      <c r="J65" s="38" t="e">
        <f t="shared" si="5"/>
        <v>#REF!</v>
      </c>
      <c r="K65" s="38" t="e">
        <f t="shared" si="6"/>
        <v>#REF!</v>
      </c>
      <c r="L65" s="38" t="e">
        <f t="shared" si="7"/>
        <v>#REF!</v>
      </c>
      <c r="M65" s="38" t="e">
        <f t="shared" si="8"/>
        <v>#REF!</v>
      </c>
      <c r="N65" s="38" t="e">
        <f t="shared" si="9"/>
        <v>#REF!</v>
      </c>
      <c r="O65" s="38" t="e">
        <f t="shared" si="10"/>
        <v>#REF!</v>
      </c>
      <c r="P65" s="38" t="e">
        <f t="shared" si="11"/>
        <v>#REF!</v>
      </c>
      <c r="Q65" s="38" t="e">
        <f t="shared" si="12"/>
        <v>#REF!</v>
      </c>
      <c r="R65" s="40" t="e">
        <f>'Maintenance PSURs'!#REF!</f>
        <v>#REF!</v>
      </c>
    </row>
    <row r="66" spans="1:18" ht="15.95" customHeight="1" x14ac:dyDescent="0.25">
      <c r="A66" s="35" t="str">
        <f>'Maintenance PSURs'!C36</f>
        <v>PSUR103</v>
      </c>
      <c r="B66" s="35" t="str">
        <f>'Maintenance PSURs'!L36</f>
        <v>Terence</v>
      </c>
      <c r="C66" s="35" t="str">
        <f>'Maintenance PSURs'!K36</f>
        <v>Completed</v>
      </c>
      <c r="D66" s="36" t="str">
        <f>'Maintenance PSURs'!J36</f>
        <v>2/20/2026 - Immediate</v>
      </c>
      <c r="E66" s="35" t="str">
        <f t="shared" si="0"/>
        <v/>
      </c>
      <c r="F66" s="35" t="str">
        <f t="shared" si="1"/>
        <v/>
      </c>
      <c r="G66" s="35" t="str">
        <f t="shared" si="2"/>
        <v/>
      </c>
      <c r="H66" s="35" t="str">
        <f t="shared" si="3"/>
        <v/>
      </c>
      <c r="I66" s="35" t="str">
        <f t="shared" si="4"/>
        <v/>
      </c>
      <c r="J66" s="35" t="str">
        <f t="shared" si="5"/>
        <v/>
      </c>
      <c r="K66" s="35" t="str">
        <f t="shared" si="6"/>
        <v/>
      </c>
      <c r="L66" s="35" t="str">
        <f t="shared" si="7"/>
        <v/>
      </c>
      <c r="M66" s="35" t="str">
        <f t="shared" si="8"/>
        <v/>
      </c>
      <c r="N66" s="35" t="str">
        <f t="shared" si="9"/>
        <v/>
      </c>
      <c r="O66" s="35" t="str">
        <f t="shared" si="10"/>
        <v/>
      </c>
      <c r="P66" s="35" t="str">
        <f t="shared" si="11"/>
        <v/>
      </c>
      <c r="Q66" s="35" t="str">
        <f t="shared" si="12"/>
        <v/>
      </c>
      <c r="R66" s="37" t="str">
        <f ca="1">'Maintenance PSURs'!O36</f>
        <v>-</v>
      </c>
    </row>
    <row r="67" spans="1:18" ht="15.95" customHeight="1" x14ac:dyDescent="0.25">
      <c r="A67" s="38" t="e">
        <f>'Maintenance PSURs'!#REF!</f>
        <v>#REF!</v>
      </c>
      <c r="B67" s="38" t="e">
        <f>'Maintenance PSURs'!#REF!</f>
        <v>#REF!</v>
      </c>
      <c r="C67" s="38" t="e">
        <f>'Maintenance PSURs'!#REF!</f>
        <v>#REF!</v>
      </c>
      <c r="D67" s="39" t="e">
        <f>'Maintenance PSURs'!#REF!</f>
        <v>#REF!</v>
      </c>
      <c r="E67" s="38" t="e">
        <f t="shared" ref="E67:E79" si="13">IF(AND(ISNUMBER($D67),$D67&gt;=DATE(2026,1,1),$D67&lt;=DATE(2026,1,15)),"█","")</f>
        <v>#REF!</v>
      </c>
      <c r="F67" s="38" t="e">
        <f t="shared" ref="F67:F79" si="14">IF(AND(ISNUMBER($D67),$D67&gt;=DATE(2026,1,16),$D67&lt;=DATE(2026,1,31)),"█","")</f>
        <v>#REF!</v>
      </c>
      <c r="G67" s="38" t="e">
        <f t="shared" ref="G67:G79" si="15">IF(AND(ISNUMBER($D67),$D67&gt;=DATE(2026,2,1),$D67&lt;=DATE(2026,2,14)),"█","")</f>
        <v>#REF!</v>
      </c>
      <c r="H67" s="38" t="e">
        <f t="shared" ref="H67:H79" si="16">IF(AND(ISNUMBER($D67),$D67&gt;=DATE(2026,2,15),$D67&lt;=DATE(2026,2,28)),"█","")</f>
        <v>#REF!</v>
      </c>
      <c r="I67" s="38" t="e">
        <f t="shared" ref="I67:I79" si="17">IF(AND(ISNUMBER($D67),$D67&gt;=DATE(2026,3,1),$D67&lt;=DATE(2026,3,15)),"█","")</f>
        <v>#REF!</v>
      </c>
      <c r="J67" s="38" t="e">
        <f t="shared" ref="J67:J79" si="18">IF(AND(ISNUMBER($D67),$D67&gt;=DATE(2026,3,16),$D67&lt;=DATE(2026,3,31)),"█","")</f>
        <v>#REF!</v>
      </c>
      <c r="K67" s="38" t="e">
        <f t="shared" ref="K67:K79" si="19">IF(AND(ISNUMBER($D67),$D67&gt;=DATE(2026,4,1),$D67&lt;=DATE(2026,4,15)),"█","")</f>
        <v>#REF!</v>
      </c>
      <c r="L67" s="38" t="e">
        <f t="shared" ref="L67:L79" si="20">IF(AND(ISNUMBER($D67),$D67&gt;=DATE(2026,4,16),$D67&lt;=DATE(2026,4,30)),"█","")</f>
        <v>#REF!</v>
      </c>
      <c r="M67" s="38" t="e">
        <f t="shared" ref="M67:M79" si="21">IF(AND(ISNUMBER($D67),$D67&gt;=DATE(2026,5,1),$D67&lt;=DATE(2026,5,15)),"█","")</f>
        <v>#REF!</v>
      </c>
      <c r="N67" s="38" t="e">
        <f t="shared" ref="N67:N79" si="22">IF(AND(ISNUMBER($D67),$D67&gt;=DATE(2026,5,16),$D67&lt;=DATE(2026,5,31)),"█","")</f>
        <v>#REF!</v>
      </c>
      <c r="O67" s="38" t="e">
        <f t="shared" ref="O67:O79" si="23">IF(AND(ISNUMBER($D67),$D67&gt;=DATE(2026,6,1),$D67&lt;=DATE(2026,6,15)),"█","")</f>
        <v>#REF!</v>
      </c>
      <c r="P67" s="38" t="e">
        <f t="shared" ref="P67:P79" si="24">IF(AND(ISNUMBER($D67),$D67&gt;=DATE(2026,6,16),$D67&lt;=DATE(2026,6,30)),"█","")</f>
        <v>#REF!</v>
      </c>
      <c r="Q67" s="38" t="e">
        <f t="shared" ref="Q67:Q79" si="25">IF(AND(ISNUMBER($D67),$D67&gt;DATE(2026,6,30)),"█","")</f>
        <v>#REF!</v>
      </c>
      <c r="R67" s="40" t="e">
        <f>'Maintenance PSURs'!#REF!</f>
        <v>#REF!</v>
      </c>
    </row>
    <row r="68" spans="1:18" ht="15.95" customHeight="1" x14ac:dyDescent="0.25">
      <c r="A68" s="35" t="str">
        <f>'Maintenance PSURs'!C37</f>
        <v>PSUR129</v>
      </c>
      <c r="B68" s="35" t="str">
        <f>'Maintenance PSURs'!L37</f>
        <v>Terence</v>
      </c>
      <c r="C68" s="35" t="str">
        <f>'Maintenance PSURs'!K37</f>
        <v>In Review</v>
      </c>
      <c r="D68" s="36">
        <f>'Maintenance PSURs'!J37</f>
        <v>46080</v>
      </c>
      <c r="E68" s="35" t="str">
        <f t="shared" si="13"/>
        <v/>
      </c>
      <c r="F68" s="35" t="str">
        <f t="shared" si="14"/>
        <v/>
      </c>
      <c r="G68" s="35" t="str">
        <f t="shared" si="15"/>
        <v/>
      </c>
      <c r="H68" s="35" t="str">
        <f t="shared" si="16"/>
        <v>█</v>
      </c>
      <c r="I68" s="35" t="str">
        <f t="shared" si="17"/>
        <v/>
      </c>
      <c r="J68" s="35" t="str">
        <f t="shared" si="18"/>
        <v/>
      </c>
      <c r="K68" s="35" t="str">
        <f t="shared" si="19"/>
        <v/>
      </c>
      <c r="L68" s="35" t="str">
        <f t="shared" si="20"/>
        <v/>
      </c>
      <c r="M68" s="35" t="str">
        <f t="shared" si="21"/>
        <v/>
      </c>
      <c r="N68" s="35" t="str">
        <f t="shared" si="22"/>
        <v/>
      </c>
      <c r="O68" s="35" t="str">
        <f t="shared" si="23"/>
        <v/>
      </c>
      <c r="P68" s="35" t="str">
        <f t="shared" si="24"/>
        <v/>
      </c>
      <c r="Q68" s="35" t="str">
        <f t="shared" si="25"/>
        <v/>
      </c>
      <c r="R68" s="37">
        <f ca="1">'Maintenance PSURs'!O37</f>
        <v>-38</v>
      </c>
    </row>
    <row r="69" spans="1:18" ht="15.95" customHeight="1" x14ac:dyDescent="0.25">
      <c r="A69" s="38" t="e">
        <f>'Maintenance PSURs'!#REF!</f>
        <v>#REF!</v>
      </c>
      <c r="B69" s="38" t="e">
        <f>'Maintenance PSURs'!#REF!</f>
        <v>#REF!</v>
      </c>
      <c r="C69" s="38" t="e">
        <f>'Maintenance PSURs'!#REF!</f>
        <v>#REF!</v>
      </c>
      <c r="D69" s="39" t="e">
        <f>'Maintenance PSURs'!#REF!</f>
        <v>#REF!</v>
      </c>
      <c r="E69" s="38" t="e">
        <f t="shared" si="13"/>
        <v>#REF!</v>
      </c>
      <c r="F69" s="38" t="e">
        <f t="shared" si="14"/>
        <v>#REF!</v>
      </c>
      <c r="G69" s="38" t="e">
        <f t="shared" si="15"/>
        <v>#REF!</v>
      </c>
      <c r="H69" s="38" t="e">
        <f t="shared" si="16"/>
        <v>#REF!</v>
      </c>
      <c r="I69" s="38" t="e">
        <f t="shared" si="17"/>
        <v>#REF!</v>
      </c>
      <c r="J69" s="38" t="e">
        <f t="shared" si="18"/>
        <v>#REF!</v>
      </c>
      <c r="K69" s="38" t="e">
        <f t="shared" si="19"/>
        <v>#REF!</v>
      </c>
      <c r="L69" s="38" t="e">
        <f t="shared" si="20"/>
        <v>#REF!</v>
      </c>
      <c r="M69" s="38" t="e">
        <f t="shared" si="21"/>
        <v>#REF!</v>
      </c>
      <c r="N69" s="38" t="e">
        <f t="shared" si="22"/>
        <v>#REF!</v>
      </c>
      <c r="O69" s="38" t="e">
        <f t="shared" si="23"/>
        <v>#REF!</v>
      </c>
      <c r="P69" s="38" t="e">
        <f t="shared" si="24"/>
        <v>#REF!</v>
      </c>
      <c r="Q69" s="38" t="e">
        <f t="shared" si="25"/>
        <v>#REF!</v>
      </c>
      <c r="R69" s="40" t="e">
        <f>'Maintenance PSURs'!#REF!</f>
        <v>#REF!</v>
      </c>
    </row>
    <row r="70" spans="1:18" ht="15.95" customHeight="1" x14ac:dyDescent="0.25">
      <c r="A70" s="35" t="e">
        <f>'Maintenance PSURs'!#REF!</f>
        <v>#REF!</v>
      </c>
      <c r="B70" s="35" t="e">
        <f>'Maintenance PSURs'!#REF!</f>
        <v>#REF!</v>
      </c>
      <c r="C70" s="35" t="e">
        <f>'Maintenance PSURs'!#REF!</f>
        <v>#REF!</v>
      </c>
      <c r="D70" s="36" t="e">
        <f>'Maintenance PSURs'!#REF!</f>
        <v>#REF!</v>
      </c>
      <c r="E70" s="35" t="e">
        <f t="shared" si="13"/>
        <v>#REF!</v>
      </c>
      <c r="F70" s="35" t="e">
        <f t="shared" si="14"/>
        <v>#REF!</v>
      </c>
      <c r="G70" s="35" t="e">
        <f t="shared" si="15"/>
        <v>#REF!</v>
      </c>
      <c r="H70" s="35" t="e">
        <f t="shared" si="16"/>
        <v>#REF!</v>
      </c>
      <c r="I70" s="35" t="e">
        <f t="shared" si="17"/>
        <v>#REF!</v>
      </c>
      <c r="J70" s="35" t="e">
        <f t="shared" si="18"/>
        <v>#REF!</v>
      </c>
      <c r="K70" s="35" t="e">
        <f t="shared" si="19"/>
        <v>#REF!</v>
      </c>
      <c r="L70" s="35" t="e">
        <f t="shared" si="20"/>
        <v>#REF!</v>
      </c>
      <c r="M70" s="35" t="e">
        <f t="shared" si="21"/>
        <v>#REF!</v>
      </c>
      <c r="N70" s="35" t="e">
        <f t="shared" si="22"/>
        <v>#REF!</v>
      </c>
      <c r="O70" s="35" t="e">
        <f t="shared" si="23"/>
        <v>#REF!</v>
      </c>
      <c r="P70" s="35" t="e">
        <f t="shared" si="24"/>
        <v>#REF!</v>
      </c>
      <c r="Q70" s="35" t="e">
        <f t="shared" si="25"/>
        <v>#REF!</v>
      </c>
      <c r="R70" s="37" t="e">
        <f>'Maintenance PSURs'!#REF!</f>
        <v>#REF!</v>
      </c>
    </row>
    <row r="71" spans="1:18" ht="15.95" customHeight="1" x14ac:dyDescent="0.25">
      <c r="A71" s="38" t="e">
        <f>'Maintenance PSURs'!#REF!</f>
        <v>#REF!</v>
      </c>
      <c r="B71" s="38" t="e">
        <f>'Maintenance PSURs'!#REF!</f>
        <v>#REF!</v>
      </c>
      <c r="C71" s="38" t="e">
        <f>'Maintenance PSURs'!#REF!</f>
        <v>#REF!</v>
      </c>
      <c r="D71" s="39" t="e">
        <f>'Maintenance PSURs'!#REF!</f>
        <v>#REF!</v>
      </c>
      <c r="E71" s="38" t="e">
        <f t="shared" si="13"/>
        <v>#REF!</v>
      </c>
      <c r="F71" s="38" t="e">
        <f t="shared" si="14"/>
        <v>#REF!</v>
      </c>
      <c r="G71" s="38" t="e">
        <f t="shared" si="15"/>
        <v>#REF!</v>
      </c>
      <c r="H71" s="38" t="e">
        <f t="shared" si="16"/>
        <v>#REF!</v>
      </c>
      <c r="I71" s="38" t="e">
        <f t="shared" si="17"/>
        <v>#REF!</v>
      </c>
      <c r="J71" s="38" t="e">
        <f t="shared" si="18"/>
        <v>#REF!</v>
      </c>
      <c r="K71" s="38" t="e">
        <f t="shared" si="19"/>
        <v>#REF!</v>
      </c>
      <c r="L71" s="38" t="e">
        <f t="shared" si="20"/>
        <v>#REF!</v>
      </c>
      <c r="M71" s="38" t="e">
        <f t="shared" si="21"/>
        <v>#REF!</v>
      </c>
      <c r="N71" s="38" t="e">
        <f t="shared" si="22"/>
        <v>#REF!</v>
      </c>
      <c r="O71" s="38" t="e">
        <f t="shared" si="23"/>
        <v>#REF!</v>
      </c>
      <c r="P71" s="38" t="e">
        <f t="shared" si="24"/>
        <v>#REF!</v>
      </c>
      <c r="Q71" s="38" t="e">
        <f t="shared" si="25"/>
        <v>#REF!</v>
      </c>
      <c r="R71" s="40" t="e">
        <f>'Maintenance PSURs'!#REF!</f>
        <v>#REF!</v>
      </c>
    </row>
    <row r="72" spans="1:18" ht="15.95" customHeight="1" x14ac:dyDescent="0.25">
      <c r="A72" s="35" t="str">
        <f>'Maintenance PSURs'!C38</f>
        <v>PSUR104</v>
      </c>
      <c r="B72" s="35" t="str">
        <f>'Maintenance PSURs'!L38</f>
        <v>Terence</v>
      </c>
      <c r="C72" s="35" t="str">
        <f>'Maintenance PSURs'!K38</f>
        <v>In progress</v>
      </c>
      <c r="D72" s="36">
        <f>'Maintenance PSURs'!J38</f>
        <v>46101</v>
      </c>
      <c r="E72" s="35" t="str">
        <f t="shared" si="13"/>
        <v/>
      </c>
      <c r="F72" s="35" t="str">
        <f t="shared" si="14"/>
        <v/>
      </c>
      <c r="G72" s="35" t="str">
        <f t="shared" si="15"/>
        <v/>
      </c>
      <c r="H72" s="35" t="str">
        <f t="shared" si="16"/>
        <v/>
      </c>
      <c r="I72" s="35" t="str">
        <f t="shared" si="17"/>
        <v/>
      </c>
      <c r="J72" s="35" t="str">
        <f t="shared" si="18"/>
        <v>█</v>
      </c>
      <c r="K72" s="35" t="str">
        <f t="shared" si="19"/>
        <v/>
      </c>
      <c r="L72" s="35" t="str">
        <f t="shared" si="20"/>
        <v/>
      </c>
      <c r="M72" s="35" t="str">
        <f t="shared" si="21"/>
        <v/>
      </c>
      <c r="N72" s="35" t="str">
        <f t="shared" si="22"/>
        <v/>
      </c>
      <c r="O72" s="35" t="str">
        <f t="shared" si="23"/>
        <v/>
      </c>
      <c r="P72" s="35" t="str">
        <f t="shared" si="24"/>
        <v/>
      </c>
      <c r="Q72" s="35" t="str">
        <f t="shared" si="25"/>
        <v/>
      </c>
      <c r="R72" s="37">
        <f ca="1">'Maintenance PSURs'!O38</f>
        <v>-17</v>
      </c>
    </row>
    <row r="73" spans="1:18" ht="15.95" customHeight="1" x14ac:dyDescent="0.25">
      <c r="A73" s="38" t="str">
        <f>'Maintenance PSURs'!C39</f>
        <v>PSUR105</v>
      </c>
      <c r="B73" s="38" t="str">
        <f>'Maintenance PSURs'!L39</f>
        <v>TBD</v>
      </c>
      <c r="C73" s="38" t="str">
        <f>'Maintenance PSURs'!K39</f>
        <v>Not Started</v>
      </c>
      <c r="D73" s="39">
        <f>'Maintenance PSURs'!J39</f>
        <v>46234</v>
      </c>
      <c r="E73" s="38" t="str">
        <f t="shared" si="13"/>
        <v/>
      </c>
      <c r="F73" s="38" t="str">
        <f t="shared" si="14"/>
        <v/>
      </c>
      <c r="G73" s="38" t="str">
        <f t="shared" si="15"/>
        <v/>
      </c>
      <c r="H73" s="38" t="str">
        <f t="shared" si="16"/>
        <v/>
      </c>
      <c r="I73" s="38" t="str">
        <f t="shared" si="17"/>
        <v/>
      </c>
      <c r="J73" s="38" t="str">
        <f t="shared" si="18"/>
        <v/>
      </c>
      <c r="K73" s="38" t="str">
        <f t="shared" si="19"/>
        <v/>
      </c>
      <c r="L73" s="38" t="str">
        <f t="shared" si="20"/>
        <v/>
      </c>
      <c r="M73" s="38" t="str">
        <f t="shared" si="21"/>
        <v/>
      </c>
      <c r="N73" s="38" t="str">
        <f t="shared" si="22"/>
        <v/>
      </c>
      <c r="O73" s="38" t="str">
        <f t="shared" si="23"/>
        <v/>
      </c>
      <c r="P73" s="38" t="str">
        <f t="shared" si="24"/>
        <v/>
      </c>
      <c r="Q73" s="38" t="str">
        <f t="shared" si="25"/>
        <v>█</v>
      </c>
      <c r="R73" s="40">
        <f ca="1">'Maintenance PSURs'!O39</f>
        <v>116</v>
      </c>
    </row>
    <row r="74" spans="1:18" ht="15.95" customHeight="1" x14ac:dyDescent="0.25">
      <c r="A74" s="35" t="str">
        <f>'Maintenance PSURs'!C40</f>
        <v>PSUR118</v>
      </c>
      <c r="B74" s="35" t="str">
        <f>'Maintenance PSURs'!L40</f>
        <v>Terence</v>
      </c>
      <c r="C74" s="35" t="str">
        <f>'Maintenance PSURs'!K40</f>
        <v>Not Started</v>
      </c>
      <c r="D74" s="36" t="str">
        <f>'Maintenance PSURs'!J40</f>
        <v>03/27/2026 - Immediate</v>
      </c>
      <c r="E74" s="35" t="str">
        <f t="shared" si="13"/>
        <v/>
      </c>
      <c r="F74" s="35" t="str">
        <f t="shared" si="14"/>
        <v/>
      </c>
      <c r="G74" s="35" t="str">
        <f t="shared" si="15"/>
        <v/>
      </c>
      <c r="H74" s="35" t="str">
        <f t="shared" si="16"/>
        <v/>
      </c>
      <c r="I74" s="35" t="str">
        <f t="shared" si="17"/>
        <v/>
      </c>
      <c r="J74" s="35" t="str">
        <f t="shared" si="18"/>
        <v/>
      </c>
      <c r="K74" s="35" t="str">
        <f t="shared" si="19"/>
        <v/>
      </c>
      <c r="L74" s="35" t="str">
        <f t="shared" si="20"/>
        <v/>
      </c>
      <c r="M74" s="35" t="str">
        <f t="shared" si="21"/>
        <v/>
      </c>
      <c r="N74" s="35" t="str">
        <f t="shared" si="22"/>
        <v/>
      </c>
      <c r="O74" s="35" t="str">
        <f t="shared" si="23"/>
        <v/>
      </c>
      <c r="P74" s="35" t="str">
        <f t="shared" si="24"/>
        <v/>
      </c>
      <c r="Q74" s="35" t="str">
        <f t="shared" si="25"/>
        <v/>
      </c>
      <c r="R74" s="37" t="str">
        <f ca="1">'Maintenance PSURs'!O40</f>
        <v>N/A</v>
      </c>
    </row>
    <row r="75" spans="1:18" ht="15.95" customHeight="1" x14ac:dyDescent="0.25">
      <c r="A75" s="38" t="str">
        <f>'Maintenance PSURs'!C41</f>
        <v>PSUR121</v>
      </c>
      <c r="B75" s="38" t="str">
        <f>'Maintenance PSURs'!L41</f>
        <v>Venkata</v>
      </c>
      <c r="C75" s="38" t="str">
        <f>'Maintenance PSURs'!K41</f>
        <v>Not Started</v>
      </c>
      <c r="D75" s="39" t="str">
        <f>'Maintenance PSURs'!J41</f>
        <v>3/24/2026 - Immediate</v>
      </c>
      <c r="E75" s="38" t="str">
        <f t="shared" si="13"/>
        <v/>
      </c>
      <c r="F75" s="38" t="str">
        <f t="shared" si="14"/>
        <v/>
      </c>
      <c r="G75" s="38" t="str">
        <f t="shared" si="15"/>
        <v/>
      </c>
      <c r="H75" s="38" t="str">
        <f t="shared" si="16"/>
        <v/>
      </c>
      <c r="I75" s="38" t="str">
        <f t="shared" si="17"/>
        <v/>
      </c>
      <c r="J75" s="38" t="str">
        <f t="shared" si="18"/>
        <v/>
      </c>
      <c r="K75" s="38" t="str">
        <f t="shared" si="19"/>
        <v/>
      </c>
      <c r="L75" s="38" t="str">
        <f t="shared" si="20"/>
        <v/>
      </c>
      <c r="M75" s="38" t="str">
        <f t="shared" si="21"/>
        <v/>
      </c>
      <c r="N75" s="38" t="str">
        <f t="shared" si="22"/>
        <v/>
      </c>
      <c r="O75" s="38" t="str">
        <f t="shared" si="23"/>
        <v/>
      </c>
      <c r="P75" s="38" t="str">
        <f t="shared" si="24"/>
        <v/>
      </c>
      <c r="Q75" s="38" t="str">
        <f t="shared" si="25"/>
        <v/>
      </c>
      <c r="R75" s="40" t="str">
        <f ca="1">'Maintenance PSURs'!O41</f>
        <v>N/A</v>
      </c>
    </row>
    <row r="76" spans="1:18" ht="15.95" customHeight="1" x14ac:dyDescent="0.25">
      <c r="A76" s="35" t="str">
        <f>'Maintenance PSURs'!C42</f>
        <v>PSUR016</v>
      </c>
      <c r="B76" s="35" t="str">
        <f>'Maintenance PSURs'!L42</f>
        <v>Harish</v>
      </c>
      <c r="C76" s="35" t="str">
        <f>'Maintenance PSURs'!K42</f>
        <v>Not Started</v>
      </c>
      <c r="D76" s="36">
        <f>'Maintenance PSURs'!J42</f>
        <v>46203</v>
      </c>
      <c r="E76" s="35" t="str">
        <f t="shared" si="13"/>
        <v/>
      </c>
      <c r="F76" s="35" t="str">
        <f t="shared" si="14"/>
        <v/>
      </c>
      <c r="G76" s="35" t="str">
        <f t="shared" si="15"/>
        <v/>
      </c>
      <c r="H76" s="35" t="str">
        <f t="shared" si="16"/>
        <v/>
      </c>
      <c r="I76" s="35" t="str">
        <f t="shared" si="17"/>
        <v/>
      </c>
      <c r="J76" s="35" t="str">
        <f t="shared" si="18"/>
        <v/>
      </c>
      <c r="K76" s="35" t="str">
        <f t="shared" si="19"/>
        <v/>
      </c>
      <c r="L76" s="35" t="str">
        <f t="shared" si="20"/>
        <v/>
      </c>
      <c r="M76" s="35" t="str">
        <f t="shared" si="21"/>
        <v/>
      </c>
      <c r="N76" s="35" t="str">
        <f t="shared" si="22"/>
        <v/>
      </c>
      <c r="O76" s="35" t="str">
        <f t="shared" si="23"/>
        <v/>
      </c>
      <c r="P76" s="35" t="str">
        <f t="shared" si="24"/>
        <v>█</v>
      </c>
      <c r="Q76" s="35" t="str">
        <f t="shared" si="25"/>
        <v/>
      </c>
      <c r="R76" s="37">
        <f ca="1">'Maintenance PSURs'!O42</f>
        <v>85</v>
      </c>
    </row>
    <row r="77" spans="1:18" ht="15.95" customHeight="1" x14ac:dyDescent="0.25">
      <c r="A77" s="38" t="e">
        <f>'Maintenance PSURs'!#REF!</f>
        <v>#REF!</v>
      </c>
      <c r="B77" s="38" t="e">
        <f>'Maintenance PSURs'!#REF!</f>
        <v>#REF!</v>
      </c>
      <c r="C77" s="38" t="e">
        <f>'Maintenance PSURs'!#REF!</f>
        <v>#REF!</v>
      </c>
      <c r="D77" s="39" t="e">
        <f>'Maintenance PSURs'!#REF!</f>
        <v>#REF!</v>
      </c>
      <c r="E77" s="38" t="e">
        <f t="shared" si="13"/>
        <v>#REF!</v>
      </c>
      <c r="F77" s="38" t="e">
        <f t="shared" si="14"/>
        <v>#REF!</v>
      </c>
      <c r="G77" s="38" t="e">
        <f t="shared" si="15"/>
        <v>#REF!</v>
      </c>
      <c r="H77" s="38" t="e">
        <f t="shared" si="16"/>
        <v>#REF!</v>
      </c>
      <c r="I77" s="38" t="e">
        <f t="shared" si="17"/>
        <v>#REF!</v>
      </c>
      <c r="J77" s="38" t="e">
        <f t="shared" si="18"/>
        <v>#REF!</v>
      </c>
      <c r="K77" s="38" t="e">
        <f t="shared" si="19"/>
        <v>#REF!</v>
      </c>
      <c r="L77" s="38" t="e">
        <f t="shared" si="20"/>
        <v>#REF!</v>
      </c>
      <c r="M77" s="38" t="e">
        <f t="shared" si="21"/>
        <v>#REF!</v>
      </c>
      <c r="N77" s="38" t="e">
        <f t="shared" si="22"/>
        <v>#REF!</v>
      </c>
      <c r="O77" s="38" t="e">
        <f t="shared" si="23"/>
        <v>#REF!</v>
      </c>
      <c r="P77" s="38" t="e">
        <f t="shared" si="24"/>
        <v>#REF!</v>
      </c>
      <c r="Q77" s="38" t="e">
        <f t="shared" si="25"/>
        <v>#REF!</v>
      </c>
      <c r="R77" s="40" t="e">
        <f>'Maintenance PSURs'!#REF!</f>
        <v>#REF!</v>
      </c>
    </row>
    <row r="78" spans="1:18" ht="15.95" customHeight="1" x14ac:dyDescent="0.25">
      <c r="A78" s="35" t="str">
        <f>'Maintenance PSURs'!C43</f>
        <v>PSUR130</v>
      </c>
      <c r="B78" s="35" t="str">
        <f>'Maintenance PSURs'!L43</f>
        <v>TBD</v>
      </c>
      <c r="C78" s="35" t="str">
        <f>'Maintenance PSURs'!K43</f>
        <v>Not Started</v>
      </c>
      <c r="D78" s="36">
        <f>'Maintenance PSURs'!J43</f>
        <v>46228</v>
      </c>
      <c r="E78" s="35" t="str">
        <f t="shared" si="13"/>
        <v/>
      </c>
      <c r="F78" s="35" t="str">
        <f t="shared" si="14"/>
        <v/>
      </c>
      <c r="G78" s="35" t="str">
        <f t="shared" si="15"/>
        <v/>
      </c>
      <c r="H78" s="35" t="str">
        <f t="shared" si="16"/>
        <v/>
      </c>
      <c r="I78" s="35" t="str">
        <f t="shared" si="17"/>
        <v/>
      </c>
      <c r="J78" s="35" t="str">
        <f t="shared" si="18"/>
        <v/>
      </c>
      <c r="K78" s="35" t="str">
        <f t="shared" si="19"/>
        <v/>
      </c>
      <c r="L78" s="35" t="str">
        <f t="shared" si="20"/>
        <v/>
      </c>
      <c r="M78" s="35" t="str">
        <f t="shared" si="21"/>
        <v/>
      </c>
      <c r="N78" s="35" t="str">
        <f t="shared" si="22"/>
        <v/>
      </c>
      <c r="O78" s="35" t="str">
        <f t="shared" si="23"/>
        <v/>
      </c>
      <c r="P78" s="35" t="str">
        <f t="shared" si="24"/>
        <v/>
      </c>
      <c r="Q78" s="35" t="str">
        <f t="shared" si="25"/>
        <v>█</v>
      </c>
      <c r="R78" s="37">
        <f ca="1">'Maintenance PSURs'!O43</f>
        <v>110</v>
      </c>
    </row>
    <row r="79" spans="1:18" ht="15.95" customHeight="1" x14ac:dyDescent="0.25">
      <c r="A79" s="41" t="str">
        <f>'Maintenance PSURs'!C44</f>
        <v>PSUR131</v>
      </c>
      <c r="B79" s="41" t="str">
        <f>'Maintenance PSURs'!L44</f>
        <v>TBD</v>
      </c>
      <c r="C79" s="41" t="str">
        <f>'Maintenance PSURs'!K44</f>
        <v>Not Started</v>
      </c>
      <c r="D79" s="42">
        <f>'Maintenance PSURs'!J44</f>
        <v>46332</v>
      </c>
      <c r="E79" s="41" t="str">
        <f t="shared" si="13"/>
        <v/>
      </c>
      <c r="F79" s="41" t="str">
        <f t="shared" si="14"/>
        <v/>
      </c>
      <c r="G79" s="41" t="str">
        <f t="shared" si="15"/>
        <v/>
      </c>
      <c r="H79" s="41" t="str">
        <f t="shared" si="16"/>
        <v/>
      </c>
      <c r="I79" s="41" t="str">
        <f t="shared" si="17"/>
        <v/>
      </c>
      <c r="J79" s="41" t="str">
        <f t="shared" si="18"/>
        <v/>
      </c>
      <c r="K79" s="41" t="str">
        <f t="shared" si="19"/>
        <v/>
      </c>
      <c r="L79" s="41" t="str">
        <f t="shared" si="20"/>
        <v/>
      </c>
      <c r="M79" s="41" t="str">
        <f t="shared" si="21"/>
        <v/>
      </c>
      <c r="N79" s="41" t="str">
        <f t="shared" si="22"/>
        <v/>
      </c>
      <c r="O79" s="41" t="str">
        <f t="shared" si="23"/>
        <v/>
      </c>
      <c r="P79" s="41" t="str">
        <f t="shared" si="24"/>
        <v/>
      </c>
      <c r="Q79" s="41" t="str">
        <f t="shared" si="25"/>
        <v>█</v>
      </c>
      <c r="R79" s="43">
        <f ca="1">'Maintenance PSURs'!O44</f>
        <v>214</v>
      </c>
    </row>
    <row r="81" spans="1:10" x14ac:dyDescent="0.25">
      <c r="A81" s="5" t="s">
        <v>441</v>
      </c>
      <c r="B81" s="6" t="s">
        <v>442</v>
      </c>
      <c r="C81" s="7" t="s">
        <v>443</v>
      </c>
      <c r="D81" s="8" t="s">
        <v>444</v>
      </c>
      <c r="E81" s="9" t="s">
        <v>445</v>
      </c>
      <c r="G81" s="5" t="s">
        <v>446</v>
      </c>
      <c r="H81" s="10">
        <f ca="1">TODAY()</f>
        <v>46118</v>
      </c>
      <c r="I81" s="5" t="s">
        <v>447</v>
      </c>
      <c r="J81" s="1">
        <f>COUNTA(A3:A79)-COUNTBLANK(A3:A79)</f>
        <v>77</v>
      </c>
    </row>
  </sheetData>
  <mergeCells count="1">
    <mergeCell ref="A1:R1"/>
  </mergeCells>
  <conditionalFormatting sqref="C3:C79">
    <cfRule type="containsText" dxfId="8" priority="6" operator="containsText" text="Completed">
      <formula>NOT(ISERROR(SEARCH("Completed",C3)))</formula>
    </cfRule>
    <cfRule type="containsText" dxfId="7" priority="7" operator="containsText" text="Not Started">
      <formula>NOT(ISERROR(SEARCH("Not Started",C3)))</formula>
    </cfRule>
    <cfRule type="containsText" dxfId="6" priority="8" operator="containsText" text="In progress">
      <formula>NOT(ISERROR(SEARCH("In progress",C3)))</formula>
    </cfRule>
  </conditionalFormatting>
  <conditionalFormatting sqref="E3:Q79 H81 J81">
    <cfRule type="expression" dxfId="5" priority="1">
      <formula>AND(E3="█",$C3="Completed")</formula>
    </cfRule>
    <cfRule type="expression" dxfId="4" priority="2">
      <formula>AND(E3="█",$C3="In progress")</formula>
    </cfRule>
    <cfRule type="expression" dxfId="3" priority="3">
      <formula>AND(E3="█",$C3="Not Started")</formula>
    </cfRule>
    <cfRule type="expression" dxfId="2" priority="4">
      <formula>AND(E3="█",$C3="TBD")</formula>
    </cfRule>
    <cfRule type="expression" dxfId="1" priority="5">
      <formula>E3="█"</formula>
    </cfRule>
  </conditionalFormatting>
  <conditionalFormatting sqref="E3:Q79">
    <cfRule type="expression" dxfId="0" priority="10">
      <formula>AND(COLUMN()=8)</formula>
    </cfRule>
  </conditionalFormatting>
  <conditionalFormatting sqref="R3:R79">
    <cfRule type="dataBar" priority="20">
      <dataBar>
        <cfvo type="min"/>
        <cfvo type="max"/>
        <color rgb="FF4F81BD"/>
      </dataBar>
      <extLst>
        <ext xmlns:x14="http://schemas.microsoft.com/office/spreadsheetml/2009/9/main" uri="{B025F937-C7B1-47D3-B67F-A62EFF666E3E}">
          <x14:id>{B55E8ED4-B07E-4AF6-A29C-14D62AB268B9}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5E8ED4-B07E-4AF6-A29C-14D62AB268B9}">
            <x14:dataBar minLength="0" maxLength="100" axisPosition="none">
              <x14:cfvo type="min"/>
              <x14:cfvo type="max"/>
              <x14:negativeFillColor rgb="FFFF0000"/>
            </x14:dataBar>
          </x14:cfRule>
          <xm:sqref>R3:R79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393E-E588-47E8-A9F3-189B66054AC7}">
  <dimension ref="A1:S45"/>
  <sheetViews>
    <sheetView workbookViewId="0">
      <pane ySplit="1" topLeftCell="A2" activePane="bottomLeft" state="frozen"/>
      <selection pane="bottomLeft" activeCell="J10" sqref="J10:J12"/>
    </sheetView>
  </sheetViews>
  <sheetFormatPr defaultRowHeight="15.75" x14ac:dyDescent="0.25"/>
  <cols>
    <col min="1" max="1" width="14.125" style="115" bestFit="1" customWidth="1"/>
    <col min="2" max="2" width="6.375" style="115" bestFit="1" customWidth="1"/>
    <col min="3" max="3" width="9.375" style="115" bestFit="1" customWidth="1"/>
    <col min="4" max="4" width="27.125" style="115" customWidth="1"/>
    <col min="5" max="5" width="7.625" style="115" bestFit="1" customWidth="1"/>
    <col min="6" max="6" width="9.875" style="115" bestFit="1" customWidth="1"/>
    <col min="7" max="7" width="7.75" style="115" bestFit="1" customWidth="1"/>
    <col min="8" max="8" width="7.875" style="115" bestFit="1" customWidth="1"/>
    <col min="9" max="9" width="7" style="115" bestFit="1" customWidth="1"/>
    <col min="10" max="10" width="7.125" style="115" bestFit="1" customWidth="1"/>
    <col min="11" max="11" width="7.625" style="115" bestFit="1" customWidth="1"/>
    <col min="12" max="12" width="5.75" style="115" bestFit="1" customWidth="1"/>
    <col min="13" max="13" width="10.125" style="115" bestFit="1" customWidth="1"/>
    <col min="14" max="14" width="19.875" style="115" customWidth="1"/>
    <col min="15" max="15" width="9.875" style="115" bestFit="1" customWidth="1"/>
    <col min="16" max="16" width="8.625" style="115" bestFit="1" customWidth="1"/>
    <col min="17" max="17" width="5.75" style="115" bestFit="1" customWidth="1"/>
    <col min="18" max="18" width="9" style="115"/>
    <col min="19" max="19" width="6.5" style="115" bestFit="1" customWidth="1"/>
    <col min="20" max="16384" width="9" style="115"/>
  </cols>
  <sheetData>
    <row r="1" spans="1:19" x14ac:dyDescent="0.25">
      <c r="A1" s="114" t="s">
        <v>0</v>
      </c>
      <c r="B1" s="114" t="s">
        <v>1</v>
      </c>
      <c r="C1" s="114" t="s">
        <v>2</v>
      </c>
      <c r="D1" s="114" t="s">
        <v>3</v>
      </c>
      <c r="E1" s="114" t="s">
        <v>4</v>
      </c>
      <c r="F1" s="114" t="s">
        <v>5</v>
      </c>
      <c r="G1" s="114" t="s">
        <v>6</v>
      </c>
      <c r="H1" s="114" t="s">
        <v>7</v>
      </c>
      <c r="I1" s="114" t="s">
        <v>8</v>
      </c>
      <c r="J1" s="114" t="s">
        <v>9</v>
      </c>
      <c r="K1" s="114" t="s">
        <v>10</v>
      </c>
      <c r="L1" s="114" t="s">
        <v>233</v>
      </c>
      <c r="M1" s="114" t="s">
        <v>11</v>
      </c>
      <c r="N1" s="114" t="s">
        <v>12</v>
      </c>
      <c r="O1" s="114" t="s">
        <v>13</v>
      </c>
      <c r="P1" s="114" t="s">
        <v>14</v>
      </c>
      <c r="Q1" s="114" t="s">
        <v>15</v>
      </c>
      <c r="R1" s="114" t="s">
        <v>16</v>
      </c>
      <c r="S1" s="114" t="s">
        <v>17</v>
      </c>
    </row>
    <row r="2" spans="1:19" x14ac:dyDescent="0.25">
      <c r="A2" s="116" t="s">
        <v>29</v>
      </c>
      <c r="B2" s="116" t="s">
        <v>30</v>
      </c>
      <c r="C2" s="116" t="s">
        <v>31</v>
      </c>
      <c r="D2" s="116" t="s">
        <v>32</v>
      </c>
      <c r="E2" s="116" t="s">
        <v>22</v>
      </c>
      <c r="F2" s="116" t="s">
        <v>23</v>
      </c>
      <c r="G2" s="117">
        <v>45658</v>
      </c>
      <c r="H2" s="117">
        <v>46022</v>
      </c>
      <c r="I2" s="116" t="s">
        <v>33</v>
      </c>
      <c r="J2" s="117">
        <v>46164</v>
      </c>
      <c r="K2" s="118" t="s">
        <v>55</v>
      </c>
      <c r="L2" s="116" t="s">
        <v>258</v>
      </c>
      <c r="M2" s="116" t="s">
        <v>26</v>
      </c>
      <c r="N2" s="116" t="s">
        <v>34</v>
      </c>
      <c r="O2" s="119">
        <f t="shared" ref="O2:O45" ca="1" si="0">IF(K2="Completed","-",IF(ISNUMBER(J2),J2-TODAY(),"N/A"))</f>
        <v>46</v>
      </c>
      <c r="P2" s="120" t="str">
        <f t="shared" ref="P2:P10" ca="1" si="1">IF(K2="Completed","✅ DONE",IF(ISNUMBER(O2),IF(O2&lt;0,"🔴 OVERDUE",IF(O2&lt;=30,"🟠 URGENT",IF(O2&lt;=60,"🟡 SOON","🟢 ON TRACK"))),"⚪ TBD"))</f>
        <v>🟡 SOON</v>
      </c>
      <c r="Q2" s="116" t="str">
        <f t="shared" ref="Q2:Q45" si="2">IF(ISNUMBER(J2),"Q"&amp;INT((MONTH(J2)-1)/3)+1&amp;" "&amp;YEAR(J2),"TBD")</f>
        <v>Q2 2026</v>
      </c>
      <c r="R2" s="121">
        <f t="shared" ref="R2:R45" si="3">IF(K2="Completed",100,IF(K2="In progress",50,IF(K2="Assigned",25,IF(K2="Not Started",0,IF(K2="TBD",0,0)))))</f>
        <v>50</v>
      </c>
      <c r="S2" s="116" t="str">
        <f t="shared" ref="S2:S45" ca="1" si="4">IF(AND(ISNUMBER(O2),O2&lt;0,K2&lt;&gt;"Completed"),"⚠️ YES","No")</f>
        <v>No</v>
      </c>
    </row>
    <row r="3" spans="1:19" ht="78.75" x14ac:dyDescent="0.25">
      <c r="A3" s="116" t="s">
        <v>45</v>
      </c>
      <c r="B3" s="116" t="s">
        <v>46</v>
      </c>
      <c r="C3" s="116" t="s">
        <v>47</v>
      </c>
      <c r="D3" s="116" t="s">
        <v>48</v>
      </c>
      <c r="E3" s="116" t="s">
        <v>22</v>
      </c>
      <c r="F3" s="116" t="s">
        <v>23</v>
      </c>
      <c r="G3" s="117">
        <v>45474</v>
      </c>
      <c r="H3" s="117">
        <v>46022</v>
      </c>
      <c r="I3" s="116" t="s">
        <v>33</v>
      </c>
      <c r="J3" s="117">
        <v>46160</v>
      </c>
      <c r="K3" s="118" t="s">
        <v>25</v>
      </c>
      <c r="L3" s="116" t="s">
        <v>313</v>
      </c>
      <c r="M3" s="116" t="s">
        <v>26</v>
      </c>
      <c r="N3" s="122" t="s">
        <v>49</v>
      </c>
      <c r="O3" s="119">
        <f t="shared" ca="1" si="0"/>
        <v>42</v>
      </c>
      <c r="P3" s="123" t="str">
        <f t="shared" ca="1" si="1"/>
        <v>🟡 SOON</v>
      </c>
      <c r="Q3" s="116" t="str">
        <f t="shared" si="2"/>
        <v>Q2 2026</v>
      </c>
      <c r="R3" s="121">
        <f t="shared" si="3"/>
        <v>0</v>
      </c>
      <c r="S3" s="124" t="str">
        <f t="shared" ca="1" si="4"/>
        <v>No</v>
      </c>
    </row>
    <row r="4" spans="1:19" ht="22.5" x14ac:dyDescent="0.25">
      <c r="A4" s="116" t="s">
        <v>76</v>
      </c>
      <c r="B4" s="122" t="s">
        <v>77</v>
      </c>
      <c r="C4" s="116" t="s">
        <v>78</v>
      </c>
      <c r="D4" s="116" t="s">
        <v>79</v>
      </c>
      <c r="E4" s="116" t="s">
        <v>22</v>
      </c>
      <c r="F4" s="116" t="s">
        <v>23</v>
      </c>
      <c r="G4" s="117">
        <v>45658</v>
      </c>
      <c r="H4" s="117">
        <v>46022</v>
      </c>
      <c r="I4" s="116" t="s">
        <v>33</v>
      </c>
      <c r="J4" s="117">
        <v>46120</v>
      </c>
      <c r="K4" s="125" t="s">
        <v>248</v>
      </c>
      <c r="L4" s="116" t="s">
        <v>242</v>
      </c>
      <c r="M4" s="116" t="s">
        <v>26</v>
      </c>
      <c r="N4" s="116" t="s">
        <v>81</v>
      </c>
      <c r="O4" s="119">
        <f t="shared" ca="1" si="0"/>
        <v>2</v>
      </c>
      <c r="P4" s="126" t="str">
        <f t="shared" ca="1" si="1"/>
        <v>🟠 URGENT</v>
      </c>
      <c r="Q4" s="116" t="str">
        <f t="shared" si="2"/>
        <v>Q2 2026</v>
      </c>
      <c r="R4" s="121">
        <f t="shared" si="3"/>
        <v>0</v>
      </c>
      <c r="S4" s="116" t="str">
        <f t="shared" ca="1" si="4"/>
        <v>No</v>
      </c>
    </row>
    <row r="5" spans="1:19" x14ac:dyDescent="0.25">
      <c r="A5" s="116" t="s">
        <v>57</v>
      </c>
      <c r="B5" s="116" t="s">
        <v>58</v>
      </c>
      <c r="C5" s="116" t="s">
        <v>59</v>
      </c>
      <c r="D5" s="116" t="s">
        <v>60</v>
      </c>
      <c r="E5" s="116" t="s">
        <v>22</v>
      </c>
      <c r="F5" s="116" t="s">
        <v>23</v>
      </c>
      <c r="G5" s="117">
        <v>45658</v>
      </c>
      <c r="H5" s="117">
        <v>46022</v>
      </c>
      <c r="I5" s="116" t="s">
        <v>33</v>
      </c>
      <c r="J5" s="117">
        <v>46059</v>
      </c>
      <c r="K5" s="127" t="s">
        <v>41</v>
      </c>
      <c r="L5" s="116" t="s">
        <v>258</v>
      </c>
      <c r="M5" s="116" t="s">
        <v>26</v>
      </c>
      <c r="N5" s="116" t="s">
        <v>61</v>
      </c>
      <c r="O5" s="119" t="str">
        <f t="shared" ca="1" si="0"/>
        <v>-</v>
      </c>
      <c r="P5" s="128" t="str">
        <f t="shared" si="1"/>
        <v>✅ DONE</v>
      </c>
      <c r="Q5" s="116" t="str">
        <f t="shared" si="2"/>
        <v>Q1 2026</v>
      </c>
      <c r="R5" s="121">
        <f t="shared" si="3"/>
        <v>100</v>
      </c>
      <c r="S5" s="116" t="str">
        <f t="shared" ca="1" si="4"/>
        <v>No</v>
      </c>
    </row>
    <row r="6" spans="1:19" x14ac:dyDescent="0.25">
      <c r="A6" s="116" t="s">
        <v>18</v>
      </c>
      <c r="B6" s="116" t="s">
        <v>19</v>
      </c>
      <c r="C6" s="116" t="s">
        <v>20</v>
      </c>
      <c r="D6" s="116" t="s">
        <v>21</v>
      </c>
      <c r="E6" s="116" t="s">
        <v>22</v>
      </c>
      <c r="F6" s="116" t="s">
        <v>23</v>
      </c>
      <c r="G6" s="117">
        <v>45839</v>
      </c>
      <c r="H6" s="117">
        <v>46203</v>
      </c>
      <c r="I6" s="116" t="s">
        <v>24</v>
      </c>
      <c r="J6" s="117">
        <v>46227</v>
      </c>
      <c r="K6" s="118" t="s">
        <v>25</v>
      </c>
      <c r="L6" s="116" t="s">
        <v>242</v>
      </c>
      <c r="M6" s="116" t="s">
        <v>26</v>
      </c>
      <c r="N6" s="116" t="s">
        <v>27</v>
      </c>
      <c r="O6" s="119">
        <f t="shared" ca="1" si="0"/>
        <v>109</v>
      </c>
      <c r="P6" s="129" t="str">
        <f t="shared" ca="1" si="1"/>
        <v>🟢 ON TRACK</v>
      </c>
      <c r="Q6" s="116" t="str">
        <f t="shared" si="2"/>
        <v>Q3 2026</v>
      </c>
      <c r="R6" s="121">
        <f t="shared" si="3"/>
        <v>0</v>
      </c>
      <c r="S6" s="116" t="str">
        <f t="shared" ca="1" si="4"/>
        <v>No</v>
      </c>
    </row>
    <row r="7" spans="1:19" x14ac:dyDescent="0.25">
      <c r="A7" s="116" t="s">
        <v>87</v>
      </c>
      <c r="B7" s="116" t="s">
        <v>88</v>
      </c>
      <c r="C7" s="116" t="s">
        <v>89</v>
      </c>
      <c r="D7" s="116" t="s">
        <v>90</v>
      </c>
      <c r="E7" s="116" t="s">
        <v>22</v>
      </c>
      <c r="F7" s="116" t="s">
        <v>23</v>
      </c>
      <c r="G7" s="117">
        <v>45658</v>
      </c>
      <c r="H7" s="117">
        <v>46022</v>
      </c>
      <c r="I7" s="116" t="s">
        <v>33</v>
      </c>
      <c r="J7" s="117">
        <v>46150</v>
      </c>
      <c r="K7" s="118" t="s">
        <v>25</v>
      </c>
      <c r="L7" s="116" t="s">
        <v>258</v>
      </c>
      <c r="M7" s="116" t="s">
        <v>26</v>
      </c>
      <c r="N7" s="116" t="s">
        <v>91</v>
      </c>
      <c r="O7" s="119">
        <f t="shared" ca="1" si="0"/>
        <v>32</v>
      </c>
      <c r="P7" s="120" t="str">
        <f t="shared" ca="1" si="1"/>
        <v>🟡 SOON</v>
      </c>
      <c r="Q7" s="116" t="str">
        <f t="shared" si="2"/>
        <v>Q2 2026</v>
      </c>
      <c r="R7" s="121">
        <f t="shared" si="3"/>
        <v>0</v>
      </c>
      <c r="S7" s="116" t="str">
        <f t="shared" ca="1" si="4"/>
        <v>No</v>
      </c>
    </row>
    <row r="8" spans="1:19" x14ac:dyDescent="0.25">
      <c r="A8" s="116" t="s">
        <v>92</v>
      </c>
      <c r="B8" s="116" t="s">
        <v>93</v>
      </c>
      <c r="C8" s="116" t="s">
        <v>94</v>
      </c>
      <c r="D8" s="116" t="s">
        <v>95</v>
      </c>
      <c r="E8" s="116" t="s">
        <v>22</v>
      </c>
      <c r="F8" s="116" t="s">
        <v>23</v>
      </c>
      <c r="G8" s="117">
        <v>45658</v>
      </c>
      <c r="H8" s="117">
        <v>46022</v>
      </c>
      <c r="I8" s="116" t="s">
        <v>33</v>
      </c>
      <c r="J8" s="117">
        <v>46304</v>
      </c>
      <c r="K8" s="118" t="s">
        <v>25</v>
      </c>
      <c r="L8" s="116" t="s">
        <v>313</v>
      </c>
      <c r="M8" s="116" t="s">
        <v>26</v>
      </c>
      <c r="N8" s="116" t="s">
        <v>27</v>
      </c>
      <c r="O8" s="119">
        <f t="shared" ca="1" si="0"/>
        <v>186</v>
      </c>
      <c r="P8" s="126" t="str">
        <f t="shared" ca="1" si="1"/>
        <v>🟢 ON TRACK</v>
      </c>
      <c r="Q8" s="116" t="str">
        <f t="shared" si="2"/>
        <v>Q4 2026</v>
      </c>
      <c r="R8" s="121">
        <f t="shared" si="3"/>
        <v>0</v>
      </c>
      <c r="S8" s="116" t="str">
        <f t="shared" ca="1" si="4"/>
        <v>No</v>
      </c>
    </row>
    <row r="9" spans="1:19" x14ac:dyDescent="0.25">
      <c r="A9" s="108" t="s">
        <v>51</v>
      </c>
      <c r="B9" s="116" t="s">
        <v>52</v>
      </c>
      <c r="C9" s="116" t="s">
        <v>53</v>
      </c>
      <c r="D9" s="116" t="s">
        <v>54</v>
      </c>
      <c r="E9" s="108" t="s">
        <v>22</v>
      </c>
      <c r="F9" s="108" t="s">
        <v>23</v>
      </c>
      <c r="G9" s="111">
        <v>45658</v>
      </c>
      <c r="H9" s="111">
        <v>46022</v>
      </c>
      <c r="I9" s="108" t="s">
        <v>33</v>
      </c>
      <c r="J9" s="111">
        <v>46120</v>
      </c>
      <c r="K9" s="130" t="s">
        <v>248</v>
      </c>
      <c r="L9" s="108" t="s">
        <v>258</v>
      </c>
      <c r="M9" s="116" t="s">
        <v>26</v>
      </c>
      <c r="N9" s="116" t="s">
        <v>56</v>
      </c>
      <c r="O9" s="119">
        <f t="shared" ca="1" si="0"/>
        <v>2</v>
      </c>
      <c r="P9" s="126" t="str">
        <f t="shared" ca="1" si="1"/>
        <v>🟠 URGENT</v>
      </c>
      <c r="Q9" s="116" t="str">
        <f t="shared" si="2"/>
        <v>Q2 2026</v>
      </c>
      <c r="R9" s="121">
        <f t="shared" si="3"/>
        <v>0</v>
      </c>
      <c r="S9" s="116" t="str">
        <f t="shared" ca="1" si="4"/>
        <v>No</v>
      </c>
    </row>
    <row r="10" spans="1:19" ht="101.25" x14ac:dyDescent="0.25">
      <c r="A10" s="166" t="s">
        <v>62</v>
      </c>
      <c r="B10" s="131" t="s">
        <v>63</v>
      </c>
      <c r="C10" s="116" t="s">
        <v>64</v>
      </c>
      <c r="D10" s="132" t="s">
        <v>65</v>
      </c>
      <c r="E10" s="168" t="s">
        <v>22</v>
      </c>
      <c r="F10" s="168" t="s">
        <v>23</v>
      </c>
      <c r="G10" s="171">
        <v>45292</v>
      </c>
      <c r="H10" s="171">
        <v>46022</v>
      </c>
      <c r="I10" s="168" t="s">
        <v>33</v>
      </c>
      <c r="J10" s="171">
        <v>46059</v>
      </c>
      <c r="K10" s="178" t="s">
        <v>41</v>
      </c>
      <c r="L10" s="166" t="s">
        <v>258</v>
      </c>
      <c r="M10" s="131" t="s">
        <v>26</v>
      </c>
      <c r="N10" s="122" t="s">
        <v>66</v>
      </c>
      <c r="O10" s="119" t="str">
        <f t="shared" ca="1" si="0"/>
        <v>-</v>
      </c>
      <c r="P10" s="128" t="str">
        <f t="shared" si="1"/>
        <v>✅ DONE</v>
      </c>
      <c r="Q10" s="116" t="str">
        <f t="shared" si="2"/>
        <v>Q1 2026</v>
      </c>
      <c r="R10" s="121">
        <f t="shared" si="3"/>
        <v>100</v>
      </c>
      <c r="S10" s="116" t="str">
        <f t="shared" ca="1" si="4"/>
        <v>No</v>
      </c>
    </row>
    <row r="11" spans="1:19" ht="101.25" x14ac:dyDescent="0.25">
      <c r="A11" s="167"/>
      <c r="B11" s="131" t="s">
        <v>63</v>
      </c>
      <c r="C11" s="116" t="s">
        <v>67</v>
      </c>
      <c r="D11" s="132" t="s">
        <v>68</v>
      </c>
      <c r="E11" s="169"/>
      <c r="F11" s="169"/>
      <c r="G11" s="172"/>
      <c r="H11" s="172"/>
      <c r="I11" s="169"/>
      <c r="J11" s="172"/>
      <c r="K11" s="179"/>
      <c r="L11" s="167"/>
      <c r="M11" s="131" t="s">
        <v>26</v>
      </c>
      <c r="N11" s="122" t="s">
        <v>66</v>
      </c>
      <c r="O11" s="119" t="str">
        <f t="shared" ca="1" si="0"/>
        <v>N/A</v>
      </c>
      <c r="P11" s="128" t="s">
        <v>43</v>
      </c>
      <c r="Q11" s="116" t="str">
        <f t="shared" si="2"/>
        <v>TBD</v>
      </c>
      <c r="R11" s="121">
        <f t="shared" si="3"/>
        <v>0</v>
      </c>
      <c r="S11" s="116" t="str">
        <f t="shared" ca="1" si="4"/>
        <v>No</v>
      </c>
    </row>
    <row r="12" spans="1:19" ht="101.25" x14ac:dyDescent="0.25">
      <c r="A12" s="167"/>
      <c r="B12" s="131" t="s">
        <v>63</v>
      </c>
      <c r="C12" s="116" t="s">
        <v>184</v>
      </c>
      <c r="D12" s="132" t="s">
        <v>185</v>
      </c>
      <c r="E12" s="169"/>
      <c r="F12" s="169"/>
      <c r="G12" s="172"/>
      <c r="H12" s="172"/>
      <c r="I12" s="169"/>
      <c r="J12" s="172"/>
      <c r="K12" s="179"/>
      <c r="L12" s="167"/>
      <c r="M12" s="133" t="s">
        <v>11</v>
      </c>
      <c r="N12" s="122" t="s">
        <v>66</v>
      </c>
      <c r="O12" s="119" t="str">
        <f t="shared" ca="1" si="0"/>
        <v>N/A</v>
      </c>
      <c r="P12" s="128" t="s">
        <v>43</v>
      </c>
      <c r="Q12" s="116" t="str">
        <f t="shared" si="2"/>
        <v>TBD</v>
      </c>
      <c r="R12" s="121">
        <f t="shared" si="3"/>
        <v>0</v>
      </c>
      <c r="S12" s="116" t="str">
        <f t="shared" ca="1" si="4"/>
        <v>No</v>
      </c>
    </row>
    <row r="13" spans="1:19" x14ac:dyDescent="0.25">
      <c r="A13" s="166" t="s">
        <v>37</v>
      </c>
      <c r="B13" s="131" t="s">
        <v>38</v>
      </c>
      <c r="C13" s="116" t="s">
        <v>39</v>
      </c>
      <c r="D13" s="132" t="s">
        <v>40</v>
      </c>
      <c r="E13" s="168" t="s">
        <v>22</v>
      </c>
      <c r="F13" s="168" t="s">
        <v>23</v>
      </c>
      <c r="G13" s="171">
        <v>45292</v>
      </c>
      <c r="H13" s="171">
        <v>46022</v>
      </c>
      <c r="I13" s="168" t="s">
        <v>33</v>
      </c>
      <c r="J13" s="171">
        <v>46059</v>
      </c>
      <c r="K13" s="178" t="s">
        <v>41</v>
      </c>
      <c r="L13" s="168" t="s">
        <v>262</v>
      </c>
      <c r="M13" s="166" t="s">
        <v>11</v>
      </c>
      <c r="N13" s="131" t="s">
        <v>42</v>
      </c>
      <c r="O13" s="119" t="str">
        <f t="shared" ca="1" si="0"/>
        <v>-</v>
      </c>
      <c r="P13" s="128" t="str">
        <f>IF(K13="Completed","✅ DONE",IF(ISNUMBER(O13),IF(O13&lt;0,"🔴 OVERDUE",IF(O13&lt;=30,"🟠 URGENT",IF(O13&lt;=60,"🟡 SOON","🟢 ON TRACK"))),"⚪ TBD"))</f>
        <v>✅ DONE</v>
      </c>
      <c r="Q13" s="116" t="str">
        <f t="shared" si="2"/>
        <v>Q1 2026</v>
      </c>
      <c r="R13" s="121">
        <f t="shared" si="3"/>
        <v>100</v>
      </c>
      <c r="S13" s="116" t="str">
        <f t="shared" ca="1" si="4"/>
        <v>No</v>
      </c>
    </row>
    <row r="14" spans="1:19" x14ac:dyDescent="0.25">
      <c r="A14" s="167"/>
      <c r="B14" s="131" t="s">
        <v>38</v>
      </c>
      <c r="C14" s="116" t="s">
        <v>69</v>
      </c>
      <c r="D14" s="132" t="s">
        <v>70</v>
      </c>
      <c r="E14" s="169"/>
      <c r="F14" s="169"/>
      <c r="G14" s="172"/>
      <c r="H14" s="172"/>
      <c r="I14" s="169"/>
      <c r="J14" s="172"/>
      <c r="K14" s="179"/>
      <c r="L14" s="169"/>
      <c r="M14" s="167"/>
      <c r="N14" s="131" t="s">
        <v>42</v>
      </c>
      <c r="O14" s="119" t="str">
        <f t="shared" ca="1" si="0"/>
        <v>N/A</v>
      </c>
      <c r="P14" s="128" t="s">
        <v>43</v>
      </c>
      <c r="Q14" s="116" t="str">
        <f t="shared" si="2"/>
        <v>TBD</v>
      </c>
      <c r="R14" s="121">
        <f t="shared" si="3"/>
        <v>0</v>
      </c>
      <c r="S14" s="116" t="str">
        <f t="shared" ca="1" si="4"/>
        <v>No</v>
      </c>
    </row>
    <row r="15" spans="1:19" x14ac:dyDescent="0.25">
      <c r="A15" s="177"/>
      <c r="B15" s="131" t="s">
        <v>38</v>
      </c>
      <c r="C15" s="116" t="s">
        <v>186</v>
      </c>
      <c r="D15" s="132" t="s">
        <v>187</v>
      </c>
      <c r="E15" s="169"/>
      <c r="F15" s="169"/>
      <c r="G15" s="172"/>
      <c r="H15" s="172"/>
      <c r="I15" s="169"/>
      <c r="J15" s="172"/>
      <c r="K15" s="182"/>
      <c r="L15" s="169"/>
      <c r="M15" s="177"/>
      <c r="N15" s="131" t="s">
        <v>42</v>
      </c>
      <c r="O15" s="119" t="str">
        <f t="shared" ca="1" si="0"/>
        <v>N/A</v>
      </c>
      <c r="P15" s="128" t="s">
        <v>43</v>
      </c>
      <c r="Q15" s="116" t="str">
        <f t="shared" si="2"/>
        <v>TBD</v>
      </c>
      <c r="R15" s="121">
        <f t="shared" si="3"/>
        <v>0</v>
      </c>
      <c r="S15" s="116" t="str">
        <f t="shared" ca="1" si="4"/>
        <v>No</v>
      </c>
    </row>
    <row r="16" spans="1:19" x14ac:dyDescent="0.25">
      <c r="A16" s="167" t="s">
        <v>82</v>
      </c>
      <c r="B16" s="116" t="s">
        <v>83</v>
      </c>
      <c r="C16" s="116" t="s">
        <v>84</v>
      </c>
      <c r="D16" s="132" t="s">
        <v>85</v>
      </c>
      <c r="E16" s="168" t="s">
        <v>22</v>
      </c>
      <c r="F16" s="168" t="s">
        <v>23</v>
      </c>
      <c r="G16" s="171">
        <v>45658</v>
      </c>
      <c r="H16" s="171">
        <v>46022</v>
      </c>
      <c r="I16" s="168" t="s">
        <v>33</v>
      </c>
      <c r="J16" s="183">
        <v>46136</v>
      </c>
      <c r="K16" s="134" t="s">
        <v>25</v>
      </c>
      <c r="L16" s="166" t="s">
        <v>262</v>
      </c>
      <c r="M16" s="135" t="s">
        <v>11</v>
      </c>
      <c r="N16" s="116" t="s">
        <v>86</v>
      </c>
      <c r="O16" s="119">
        <f t="shared" ca="1" si="0"/>
        <v>18</v>
      </c>
      <c r="P16" s="126" t="str">
        <f ca="1">IF(K16="Completed","✅ DONE",IF(ISNUMBER(O16),IF(O16&lt;0,"🔴 OVERDUE",IF(O16&lt;=30,"🟠 URGENT",IF(O16&lt;=60,"🟡 SOON","🟢 ON TRACK"))),"⚪ TBD"))</f>
        <v>🟠 URGENT</v>
      </c>
      <c r="Q16" s="116" t="str">
        <f t="shared" si="2"/>
        <v>Q2 2026</v>
      </c>
      <c r="R16" s="121">
        <f t="shared" si="3"/>
        <v>0</v>
      </c>
      <c r="S16" s="116" t="str">
        <f t="shared" ca="1" si="4"/>
        <v>No</v>
      </c>
    </row>
    <row r="17" spans="1:19" x14ac:dyDescent="0.25">
      <c r="A17" s="167"/>
      <c r="B17" s="116" t="s">
        <v>83</v>
      </c>
      <c r="C17" s="116" t="s">
        <v>116</v>
      </c>
      <c r="D17" s="132" t="s">
        <v>117</v>
      </c>
      <c r="E17" s="169"/>
      <c r="F17" s="169"/>
      <c r="G17" s="172"/>
      <c r="H17" s="172"/>
      <c r="I17" s="169"/>
      <c r="J17" s="184"/>
      <c r="K17" s="136" t="s">
        <v>25</v>
      </c>
      <c r="L17" s="167"/>
      <c r="M17" s="131" t="s">
        <v>11</v>
      </c>
      <c r="N17" s="116" t="s">
        <v>86</v>
      </c>
      <c r="O17" s="119" t="str">
        <f t="shared" ca="1" si="0"/>
        <v>N/A</v>
      </c>
      <c r="P17" s="126" t="s">
        <v>50</v>
      </c>
      <c r="Q17" s="116" t="str">
        <f t="shared" si="2"/>
        <v>TBD</v>
      </c>
      <c r="R17" s="121">
        <f t="shared" si="3"/>
        <v>0</v>
      </c>
      <c r="S17" s="116" t="str">
        <f t="shared" ca="1" si="4"/>
        <v>No</v>
      </c>
    </row>
    <row r="18" spans="1:19" x14ac:dyDescent="0.25">
      <c r="A18" s="167"/>
      <c r="B18" s="116" t="s">
        <v>83</v>
      </c>
      <c r="C18" s="116" t="s">
        <v>118</v>
      </c>
      <c r="D18" s="132" t="s">
        <v>119</v>
      </c>
      <c r="E18" s="169"/>
      <c r="F18" s="169"/>
      <c r="G18" s="172"/>
      <c r="H18" s="172"/>
      <c r="I18" s="169"/>
      <c r="J18" s="184"/>
      <c r="K18" s="136" t="s">
        <v>25</v>
      </c>
      <c r="L18" s="167"/>
      <c r="M18" s="131" t="s">
        <v>26</v>
      </c>
      <c r="N18" s="116" t="s">
        <v>86</v>
      </c>
      <c r="O18" s="119" t="str">
        <f t="shared" ca="1" si="0"/>
        <v>N/A</v>
      </c>
      <c r="P18" s="126" t="s">
        <v>50</v>
      </c>
      <c r="Q18" s="116" t="str">
        <f t="shared" si="2"/>
        <v>TBD</v>
      </c>
      <c r="R18" s="121">
        <f t="shared" si="3"/>
        <v>0</v>
      </c>
      <c r="S18" s="116" t="str">
        <f t="shared" ca="1" si="4"/>
        <v>No</v>
      </c>
    </row>
    <row r="19" spans="1:19" x14ac:dyDescent="0.25">
      <c r="A19" s="167"/>
      <c r="B19" s="116" t="s">
        <v>83</v>
      </c>
      <c r="C19" s="116" t="s">
        <v>214</v>
      </c>
      <c r="D19" s="132" t="s">
        <v>215</v>
      </c>
      <c r="E19" s="169"/>
      <c r="F19" s="169"/>
      <c r="G19" s="172"/>
      <c r="H19" s="172"/>
      <c r="I19" s="169"/>
      <c r="J19" s="184"/>
      <c r="K19" s="137" t="s">
        <v>80</v>
      </c>
      <c r="L19" s="167"/>
      <c r="M19" s="133" t="s">
        <v>84</v>
      </c>
      <c r="N19" s="116" t="s">
        <v>86</v>
      </c>
      <c r="O19" s="119" t="str">
        <f t="shared" ca="1" si="0"/>
        <v>N/A</v>
      </c>
      <c r="P19" s="126" t="s">
        <v>50</v>
      </c>
      <c r="Q19" s="116" t="str">
        <f t="shared" si="2"/>
        <v>TBD</v>
      </c>
      <c r="R19" s="121">
        <f t="shared" si="3"/>
        <v>0</v>
      </c>
      <c r="S19" s="116" t="str">
        <f t="shared" ca="1" si="4"/>
        <v>No</v>
      </c>
    </row>
    <row r="20" spans="1:19" ht="135" x14ac:dyDescent="0.25">
      <c r="A20" s="166" t="s">
        <v>71</v>
      </c>
      <c r="B20" s="131" t="s">
        <v>72</v>
      </c>
      <c r="C20" s="116" t="s">
        <v>73</v>
      </c>
      <c r="D20" s="132" t="s">
        <v>74</v>
      </c>
      <c r="E20" s="168" t="s">
        <v>22</v>
      </c>
      <c r="F20" s="168" t="s">
        <v>23</v>
      </c>
      <c r="G20" s="171">
        <v>45292</v>
      </c>
      <c r="H20" s="171">
        <v>45688</v>
      </c>
      <c r="I20" s="168" t="s">
        <v>33</v>
      </c>
      <c r="J20" s="171">
        <v>46031</v>
      </c>
      <c r="K20" s="178" t="s">
        <v>41</v>
      </c>
      <c r="L20" s="168" t="s">
        <v>313</v>
      </c>
      <c r="M20" s="166" t="s">
        <v>11</v>
      </c>
      <c r="N20" s="138" t="s">
        <v>75</v>
      </c>
      <c r="O20" s="119" t="str">
        <f t="shared" ca="1" si="0"/>
        <v>-</v>
      </c>
      <c r="P20" s="128" t="str">
        <f>IF(K20="Completed","✅ DONE",IF(ISNUMBER(O20),IF(O20&lt;0,"🔴 OVERDUE",IF(O20&lt;=30,"🟠 URGENT",IF(O20&lt;=60,"🟡 SOON","🟢 ON TRACK"))),"⚪ TBD"))</f>
        <v>✅ DONE</v>
      </c>
      <c r="Q20" s="116" t="str">
        <f t="shared" si="2"/>
        <v>Q1 2026</v>
      </c>
      <c r="R20" s="121">
        <f t="shared" si="3"/>
        <v>100</v>
      </c>
      <c r="S20" s="116" t="str">
        <f t="shared" ca="1" si="4"/>
        <v>No</v>
      </c>
    </row>
    <row r="21" spans="1:19" ht="135" x14ac:dyDescent="0.25">
      <c r="A21" s="167"/>
      <c r="B21" s="131" t="s">
        <v>72</v>
      </c>
      <c r="C21" s="116" t="s">
        <v>156</v>
      </c>
      <c r="D21" s="132" t="s">
        <v>157</v>
      </c>
      <c r="E21" s="169"/>
      <c r="F21" s="169"/>
      <c r="G21" s="172"/>
      <c r="H21" s="172"/>
      <c r="I21" s="169"/>
      <c r="J21" s="172"/>
      <c r="K21" s="179"/>
      <c r="L21" s="169"/>
      <c r="M21" s="167"/>
      <c r="N21" s="138" t="s">
        <v>75</v>
      </c>
      <c r="O21" s="119" t="str">
        <f t="shared" ca="1" si="0"/>
        <v>N/A</v>
      </c>
      <c r="P21" s="128" t="s">
        <v>43</v>
      </c>
      <c r="Q21" s="116" t="str">
        <f t="shared" si="2"/>
        <v>TBD</v>
      </c>
      <c r="R21" s="121">
        <f t="shared" si="3"/>
        <v>0</v>
      </c>
      <c r="S21" s="116" t="str">
        <f t="shared" ca="1" si="4"/>
        <v>No</v>
      </c>
    </row>
    <row r="22" spans="1:19" ht="135" x14ac:dyDescent="0.25">
      <c r="A22" s="177"/>
      <c r="B22" s="131" t="s">
        <v>72</v>
      </c>
      <c r="C22" s="116" t="s">
        <v>188</v>
      </c>
      <c r="D22" s="132" t="s">
        <v>189</v>
      </c>
      <c r="E22" s="170"/>
      <c r="F22" s="170"/>
      <c r="G22" s="173"/>
      <c r="H22" s="173"/>
      <c r="I22" s="170"/>
      <c r="J22" s="173"/>
      <c r="K22" s="182"/>
      <c r="L22" s="170"/>
      <c r="M22" s="177"/>
      <c r="N22" s="138" t="s">
        <v>75</v>
      </c>
      <c r="O22" s="119" t="str">
        <f t="shared" ca="1" si="0"/>
        <v>N/A</v>
      </c>
      <c r="P22" s="128" t="s">
        <v>43</v>
      </c>
      <c r="Q22" s="116" t="str">
        <f t="shared" si="2"/>
        <v>TBD</v>
      </c>
      <c r="R22" s="121">
        <f t="shared" si="3"/>
        <v>0</v>
      </c>
      <c r="S22" s="116" t="str">
        <f t="shared" ca="1" si="4"/>
        <v>No</v>
      </c>
    </row>
    <row r="23" spans="1:19" x14ac:dyDescent="0.25">
      <c r="A23" s="109" t="s">
        <v>80</v>
      </c>
      <c r="B23" s="116" t="s">
        <v>353</v>
      </c>
      <c r="C23" s="116" t="s">
        <v>354</v>
      </c>
      <c r="D23" s="116" t="s">
        <v>355</v>
      </c>
      <c r="E23" s="109" t="s">
        <v>138</v>
      </c>
      <c r="F23" s="109" t="s">
        <v>238</v>
      </c>
      <c r="G23" s="112">
        <v>45444</v>
      </c>
      <c r="H23" s="112">
        <v>46022</v>
      </c>
      <c r="I23" s="109" t="s">
        <v>139</v>
      </c>
      <c r="J23" s="112">
        <v>46073</v>
      </c>
      <c r="K23" s="139" t="s">
        <v>41</v>
      </c>
      <c r="L23" s="109" t="s">
        <v>258</v>
      </c>
      <c r="M23" s="109" t="s">
        <v>26</v>
      </c>
      <c r="N23" s="116" t="s">
        <v>356</v>
      </c>
      <c r="O23" s="119" t="str">
        <f t="shared" ca="1" si="0"/>
        <v>-</v>
      </c>
      <c r="P23" s="128" t="str">
        <f>IF(K23="Completed","✅ DONE",IF(ISNUMBER(O23),IF(O23&lt;0,"🔴 OVERDUE",IF(O23&lt;=30,"🟠 URGENT",IF(O23&lt;=60,"🟡 SOON","🟢 ON TRACK"))),"⚪ TBD"))</f>
        <v>✅ DONE</v>
      </c>
      <c r="Q23" s="116" t="str">
        <f t="shared" si="2"/>
        <v>Q1 2026</v>
      </c>
      <c r="R23" s="121">
        <f t="shared" si="3"/>
        <v>100</v>
      </c>
      <c r="S23" s="116" t="str">
        <f t="shared" ca="1" si="4"/>
        <v>No</v>
      </c>
    </row>
    <row r="24" spans="1:19" x14ac:dyDescent="0.25">
      <c r="A24" s="166" t="s">
        <v>96</v>
      </c>
      <c r="B24" s="131" t="s">
        <v>97</v>
      </c>
      <c r="C24" s="116" t="s">
        <v>98</v>
      </c>
      <c r="D24" s="132" t="s">
        <v>99</v>
      </c>
      <c r="E24" s="168" t="s">
        <v>22</v>
      </c>
      <c r="F24" s="168" t="s">
        <v>23</v>
      </c>
      <c r="G24" s="171">
        <v>45839</v>
      </c>
      <c r="H24" s="171">
        <v>46203</v>
      </c>
      <c r="I24" s="168" t="s">
        <v>33</v>
      </c>
      <c r="J24" s="171">
        <v>46233</v>
      </c>
      <c r="K24" s="174" t="s">
        <v>25</v>
      </c>
      <c r="L24" s="168" t="s">
        <v>80</v>
      </c>
      <c r="M24" s="166" t="s">
        <v>98</v>
      </c>
      <c r="N24" s="131" t="s">
        <v>100</v>
      </c>
      <c r="O24" s="119">
        <f t="shared" ca="1" si="0"/>
        <v>115</v>
      </c>
      <c r="P24" s="129" t="str">
        <f ca="1">IF(K24="Completed","✅ DONE",IF(ISNUMBER(O24),IF(O24&lt;0,"🔴 OVERDUE",IF(O24&lt;=30,"🟠 URGENT",IF(O24&lt;=60,"🟡 SOON","🟢 ON TRACK"))),"⚪ TBD"))</f>
        <v>🟢 ON TRACK</v>
      </c>
      <c r="Q24" s="116" t="str">
        <f t="shared" si="2"/>
        <v>Q3 2026</v>
      </c>
      <c r="R24" s="121">
        <f t="shared" si="3"/>
        <v>0</v>
      </c>
      <c r="S24" s="116" t="str">
        <f t="shared" ca="1" si="4"/>
        <v>No</v>
      </c>
    </row>
    <row r="25" spans="1:19" x14ac:dyDescent="0.25">
      <c r="A25" s="177"/>
      <c r="B25" s="131" t="s">
        <v>97</v>
      </c>
      <c r="C25" s="116" t="s">
        <v>191</v>
      </c>
      <c r="D25" s="132" t="s">
        <v>192</v>
      </c>
      <c r="E25" s="170"/>
      <c r="F25" s="170"/>
      <c r="G25" s="173"/>
      <c r="H25" s="173"/>
      <c r="I25" s="170"/>
      <c r="J25" s="173"/>
      <c r="K25" s="176"/>
      <c r="L25" s="170"/>
      <c r="M25" s="177"/>
      <c r="N25" s="131" t="s">
        <v>193</v>
      </c>
      <c r="O25" s="119" t="str">
        <f t="shared" ca="1" si="0"/>
        <v>N/A</v>
      </c>
      <c r="P25" s="129" t="s">
        <v>28</v>
      </c>
      <c r="Q25" s="116" t="str">
        <f t="shared" si="2"/>
        <v>TBD</v>
      </c>
      <c r="R25" s="121">
        <f t="shared" si="3"/>
        <v>0</v>
      </c>
      <c r="S25" s="116" t="str">
        <f t="shared" ca="1" si="4"/>
        <v>No</v>
      </c>
    </row>
    <row r="26" spans="1:19" x14ac:dyDescent="0.25">
      <c r="A26" s="109" t="s">
        <v>106</v>
      </c>
      <c r="B26" s="116" t="s">
        <v>107</v>
      </c>
      <c r="C26" s="116" t="s">
        <v>108</v>
      </c>
      <c r="D26" s="116" t="s">
        <v>109</v>
      </c>
      <c r="E26" s="109" t="s">
        <v>22</v>
      </c>
      <c r="F26" s="109" t="s">
        <v>23</v>
      </c>
      <c r="G26" s="112">
        <v>45292</v>
      </c>
      <c r="H26" s="112">
        <v>45657</v>
      </c>
      <c r="I26" s="109" t="s">
        <v>33</v>
      </c>
      <c r="J26" s="112">
        <v>46031</v>
      </c>
      <c r="K26" s="139" t="s">
        <v>41</v>
      </c>
      <c r="L26" s="110" t="s">
        <v>258</v>
      </c>
      <c r="M26" s="110" t="s">
        <v>11</v>
      </c>
      <c r="N26" s="116" t="s">
        <v>110</v>
      </c>
      <c r="O26" s="119" t="str">
        <f t="shared" ca="1" si="0"/>
        <v>-</v>
      </c>
      <c r="P26" s="128" t="str">
        <f>IF(K26="Completed","✅ DONE",IF(ISNUMBER(O26),IF(O26&lt;0,"🔴 OVERDUE",IF(O26&lt;=30,"🟠 URGENT",IF(O26&lt;=60,"🟡 SOON","🟢 ON TRACK"))),"⚪ TBD"))</f>
        <v>✅ DONE</v>
      </c>
      <c r="Q26" s="116" t="str">
        <f t="shared" si="2"/>
        <v>Q1 2026</v>
      </c>
      <c r="R26" s="121">
        <f t="shared" si="3"/>
        <v>100</v>
      </c>
      <c r="S26" s="116" t="str">
        <f t="shared" ca="1" si="4"/>
        <v>No</v>
      </c>
    </row>
    <row r="27" spans="1:19" x14ac:dyDescent="0.25">
      <c r="A27" s="166" t="s">
        <v>101</v>
      </c>
      <c r="B27" s="131" t="s">
        <v>102</v>
      </c>
      <c r="C27" s="116" t="s">
        <v>103</v>
      </c>
      <c r="D27" s="132" t="s">
        <v>104</v>
      </c>
      <c r="E27" s="168" t="s">
        <v>22</v>
      </c>
      <c r="F27" s="168" t="s">
        <v>23</v>
      </c>
      <c r="G27" s="171">
        <v>45658</v>
      </c>
      <c r="H27" s="171">
        <v>46022</v>
      </c>
      <c r="I27" s="168" t="s">
        <v>33</v>
      </c>
      <c r="J27" s="171">
        <v>46193</v>
      </c>
      <c r="K27" s="180" t="s">
        <v>25</v>
      </c>
      <c r="L27" s="131" t="s">
        <v>313</v>
      </c>
      <c r="M27" s="116" t="s">
        <v>26</v>
      </c>
      <c r="N27" s="116" t="s">
        <v>105</v>
      </c>
      <c r="O27" s="119">
        <f t="shared" ca="1" si="0"/>
        <v>75</v>
      </c>
      <c r="P27" s="129" t="str">
        <f ca="1">IF(K27="Completed","✅ DONE",IF(ISNUMBER(O27),IF(O27&lt;0,"🔴 OVERDUE",IF(O27&lt;=30,"🟠 URGENT",IF(O27&lt;=60,"🟡 SOON","🟢 ON TRACK"))),"⚪ TBD"))</f>
        <v>🟢 ON TRACK</v>
      </c>
      <c r="Q27" s="116" t="str">
        <f t="shared" si="2"/>
        <v>Q2 2026</v>
      </c>
      <c r="R27" s="121">
        <f t="shared" si="3"/>
        <v>0</v>
      </c>
      <c r="S27" s="116" t="str">
        <f t="shared" ca="1" si="4"/>
        <v>No</v>
      </c>
    </row>
    <row r="28" spans="1:19" x14ac:dyDescent="0.25">
      <c r="A28" s="167"/>
      <c r="B28" s="131" t="s">
        <v>102</v>
      </c>
      <c r="C28" s="116" t="s">
        <v>196</v>
      </c>
      <c r="D28" s="132" t="s">
        <v>197</v>
      </c>
      <c r="E28" s="169"/>
      <c r="F28" s="169"/>
      <c r="G28" s="172"/>
      <c r="H28" s="172"/>
      <c r="I28" s="169"/>
      <c r="J28" s="172"/>
      <c r="K28" s="181"/>
      <c r="L28" s="133" t="s">
        <v>258</v>
      </c>
      <c r="M28" s="108" t="s">
        <v>103</v>
      </c>
      <c r="N28" s="116" t="s">
        <v>105</v>
      </c>
      <c r="O28" s="119" t="str">
        <f t="shared" ca="1" si="0"/>
        <v>N/A</v>
      </c>
      <c r="P28" s="129" t="s">
        <v>28</v>
      </c>
      <c r="Q28" s="116" t="str">
        <f t="shared" si="2"/>
        <v>TBD</v>
      </c>
      <c r="R28" s="121">
        <f t="shared" si="3"/>
        <v>0</v>
      </c>
      <c r="S28" s="116" t="str">
        <f t="shared" ca="1" si="4"/>
        <v>No</v>
      </c>
    </row>
    <row r="29" spans="1:19" x14ac:dyDescent="0.25">
      <c r="A29" s="166" t="s">
        <v>158</v>
      </c>
      <c r="B29" s="131" t="s">
        <v>159</v>
      </c>
      <c r="C29" s="116" t="s">
        <v>160</v>
      </c>
      <c r="D29" s="132" t="s">
        <v>161</v>
      </c>
      <c r="E29" s="168" t="s">
        <v>22</v>
      </c>
      <c r="F29" s="168" t="s">
        <v>23</v>
      </c>
      <c r="G29" s="171">
        <v>45658</v>
      </c>
      <c r="H29" s="171">
        <v>46022</v>
      </c>
      <c r="I29" s="168" t="s">
        <v>33</v>
      </c>
      <c r="J29" s="171">
        <v>46129</v>
      </c>
      <c r="K29" s="174" t="s">
        <v>80</v>
      </c>
      <c r="L29" s="168" t="s">
        <v>313</v>
      </c>
      <c r="M29" s="166" t="s">
        <v>160</v>
      </c>
      <c r="N29" s="131" t="s">
        <v>162</v>
      </c>
      <c r="O29" s="119">
        <f t="shared" ca="1" si="0"/>
        <v>11</v>
      </c>
      <c r="P29" s="126" t="str">
        <f ca="1">IF(K29="Completed","✅ DONE",IF(ISNUMBER(O29),IF(O29&lt;0,"🔴 OVERDUE",IF(O29&lt;=30,"🟠 URGENT",IF(O29&lt;=60,"🟡 SOON","🟢 ON TRACK"))),"⚪ TBD"))</f>
        <v>🟠 URGENT</v>
      </c>
      <c r="Q29" s="116" t="str">
        <f t="shared" si="2"/>
        <v>Q2 2026</v>
      </c>
      <c r="R29" s="121">
        <f t="shared" si="3"/>
        <v>0</v>
      </c>
      <c r="S29" s="116" t="str">
        <f t="shared" ca="1" si="4"/>
        <v>No</v>
      </c>
    </row>
    <row r="30" spans="1:19" x14ac:dyDescent="0.25">
      <c r="A30" s="177"/>
      <c r="B30" s="131" t="s">
        <v>159</v>
      </c>
      <c r="C30" s="116" t="s">
        <v>198</v>
      </c>
      <c r="D30" s="132" t="s">
        <v>199</v>
      </c>
      <c r="E30" s="170"/>
      <c r="F30" s="170"/>
      <c r="G30" s="173"/>
      <c r="H30" s="173"/>
      <c r="I30" s="170"/>
      <c r="J30" s="173"/>
      <c r="K30" s="176"/>
      <c r="L30" s="170"/>
      <c r="M30" s="177"/>
      <c r="N30" s="131" t="s">
        <v>162</v>
      </c>
      <c r="O30" s="119" t="str">
        <f t="shared" ca="1" si="0"/>
        <v>N/A</v>
      </c>
      <c r="P30" s="126" t="s">
        <v>50</v>
      </c>
      <c r="Q30" s="116" t="str">
        <f t="shared" si="2"/>
        <v>TBD</v>
      </c>
      <c r="R30" s="121">
        <f t="shared" si="3"/>
        <v>0</v>
      </c>
      <c r="S30" s="116" t="str">
        <f t="shared" ca="1" si="4"/>
        <v>No</v>
      </c>
    </row>
    <row r="31" spans="1:19" x14ac:dyDescent="0.25">
      <c r="A31" s="109" t="s">
        <v>163</v>
      </c>
      <c r="B31" s="116" t="s">
        <v>164</v>
      </c>
      <c r="C31" s="116" t="s">
        <v>165</v>
      </c>
      <c r="D31" s="116" t="s">
        <v>166</v>
      </c>
      <c r="E31" s="109" t="s">
        <v>22</v>
      </c>
      <c r="F31" s="109" t="s">
        <v>23</v>
      </c>
      <c r="G31" s="112">
        <v>45413</v>
      </c>
      <c r="H31" s="112">
        <v>45777</v>
      </c>
      <c r="I31" s="109" t="s">
        <v>33</v>
      </c>
      <c r="J31" s="112">
        <v>46031</v>
      </c>
      <c r="K31" s="139" t="s">
        <v>41</v>
      </c>
      <c r="L31" s="109" t="s">
        <v>258</v>
      </c>
      <c r="M31" s="109" t="s">
        <v>26</v>
      </c>
      <c r="N31" s="116" t="s">
        <v>167</v>
      </c>
      <c r="O31" s="119" t="str">
        <f t="shared" ca="1" si="0"/>
        <v>-</v>
      </c>
      <c r="P31" s="128" t="str">
        <f>IF(K31="Completed","✅ DONE",IF(ISNUMBER(O31),IF(O31&lt;0,"🔴 OVERDUE",IF(O31&lt;=30,"🟠 URGENT",IF(O31&lt;=60,"🟡 SOON","🟢 ON TRACK"))),"⚪ TBD"))</f>
        <v>✅ DONE</v>
      </c>
      <c r="Q31" s="116" t="str">
        <f t="shared" si="2"/>
        <v>Q1 2026</v>
      </c>
      <c r="R31" s="121">
        <f t="shared" si="3"/>
        <v>100</v>
      </c>
      <c r="S31" s="116" t="str">
        <f t="shared" ca="1" si="4"/>
        <v>No</v>
      </c>
    </row>
    <row r="32" spans="1:19" ht="34.5" customHeight="1" x14ac:dyDescent="0.25">
      <c r="A32" s="166" t="s">
        <v>200</v>
      </c>
      <c r="B32" s="131" t="s">
        <v>201</v>
      </c>
      <c r="C32" s="116" t="s">
        <v>202</v>
      </c>
      <c r="D32" s="140" t="s">
        <v>203</v>
      </c>
      <c r="E32" s="168" t="s">
        <v>22</v>
      </c>
      <c r="F32" s="168" t="s">
        <v>23</v>
      </c>
      <c r="G32" s="171">
        <v>45474</v>
      </c>
      <c r="H32" s="171">
        <v>45838</v>
      </c>
      <c r="I32" s="168" t="s">
        <v>33</v>
      </c>
      <c r="J32" s="171">
        <v>46112</v>
      </c>
      <c r="K32" s="178" t="s">
        <v>41</v>
      </c>
      <c r="L32" s="168" t="s">
        <v>262</v>
      </c>
      <c r="M32" s="166" t="s">
        <v>202</v>
      </c>
      <c r="N32" s="138" t="s">
        <v>204</v>
      </c>
      <c r="O32" s="119" t="str">
        <f t="shared" ca="1" si="0"/>
        <v>-</v>
      </c>
      <c r="P32" s="128" t="str">
        <f>IF(K32="Completed","✅ DONE",IF(ISNUMBER(O32),IF(O32&lt;0,"🔴 OVERDUE",IF(O32&lt;=30,"🟠 URGENT",IF(O32&lt;=60,"🟡 SOON","🟢 ON TRACK"))),"⚪ TBD"))</f>
        <v>✅ DONE</v>
      </c>
      <c r="Q32" s="116" t="str">
        <f t="shared" si="2"/>
        <v>Q1 2026</v>
      </c>
      <c r="R32" s="121">
        <f t="shared" si="3"/>
        <v>100</v>
      </c>
      <c r="S32" s="116" t="str">
        <f t="shared" ca="1" si="4"/>
        <v>No</v>
      </c>
    </row>
    <row r="33" spans="1:19" x14ac:dyDescent="0.25">
      <c r="A33" s="167"/>
      <c r="B33" s="131" t="s">
        <v>201</v>
      </c>
      <c r="C33" s="116" t="s">
        <v>222</v>
      </c>
      <c r="D33" s="132" t="s">
        <v>223</v>
      </c>
      <c r="E33" s="169"/>
      <c r="F33" s="169"/>
      <c r="G33" s="172"/>
      <c r="H33" s="172"/>
      <c r="I33" s="169"/>
      <c r="J33" s="172"/>
      <c r="K33" s="179"/>
      <c r="L33" s="169"/>
      <c r="M33" s="167"/>
      <c r="N33" s="131" t="s">
        <v>224</v>
      </c>
      <c r="O33" s="119" t="str">
        <f t="shared" ca="1" si="0"/>
        <v>N/A</v>
      </c>
      <c r="P33" s="128" t="s">
        <v>43</v>
      </c>
      <c r="Q33" s="116" t="str">
        <f t="shared" si="2"/>
        <v>TBD</v>
      </c>
      <c r="R33" s="121">
        <f t="shared" si="3"/>
        <v>0</v>
      </c>
      <c r="S33" s="116" t="str">
        <f t="shared" ca="1" si="4"/>
        <v>No</v>
      </c>
    </row>
    <row r="34" spans="1:19" ht="67.5" x14ac:dyDescent="0.25">
      <c r="A34" s="166" t="s">
        <v>151</v>
      </c>
      <c r="B34" s="131" t="s">
        <v>152</v>
      </c>
      <c r="C34" s="116" t="s">
        <v>153</v>
      </c>
      <c r="D34" s="140" t="s">
        <v>154</v>
      </c>
      <c r="E34" s="168" t="s">
        <v>22</v>
      </c>
      <c r="F34" s="168" t="s">
        <v>23</v>
      </c>
      <c r="G34" s="171">
        <v>45658</v>
      </c>
      <c r="H34" s="171">
        <v>46022</v>
      </c>
      <c r="I34" s="168" t="s">
        <v>33</v>
      </c>
      <c r="J34" s="171">
        <v>46199</v>
      </c>
      <c r="K34" s="174" t="s">
        <v>25</v>
      </c>
      <c r="L34" s="168" t="s">
        <v>313</v>
      </c>
      <c r="M34" s="166" t="s">
        <v>11</v>
      </c>
      <c r="N34" s="131" t="s">
        <v>155</v>
      </c>
      <c r="O34" s="119">
        <f t="shared" ca="1" si="0"/>
        <v>81</v>
      </c>
      <c r="P34" s="129" t="str">
        <f ca="1">IF(K34="Completed","✅ DONE",IF(ISNUMBER(O34),IF(O34&lt;0,"🔴 OVERDUE",IF(O34&lt;=30,"🟠 URGENT",IF(O34&lt;=60,"🟡 SOON","🟢 ON TRACK"))),"⚪ TBD"))</f>
        <v>🟢 ON TRACK</v>
      </c>
      <c r="Q34" s="116" t="str">
        <f t="shared" si="2"/>
        <v>Q2 2026</v>
      </c>
      <c r="R34" s="121">
        <f t="shared" si="3"/>
        <v>0</v>
      </c>
      <c r="S34" s="116" t="str">
        <f t="shared" ca="1" si="4"/>
        <v>No</v>
      </c>
    </row>
    <row r="35" spans="1:19" x14ac:dyDescent="0.25">
      <c r="A35" s="167"/>
      <c r="B35" s="131" t="s">
        <v>152</v>
      </c>
      <c r="C35" s="116" t="s">
        <v>205</v>
      </c>
      <c r="D35" s="132" t="s">
        <v>206</v>
      </c>
      <c r="E35" s="169"/>
      <c r="F35" s="169"/>
      <c r="G35" s="173"/>
      <c r="H35" s="172"/>
      <c r="I35" s="169"/>
      <c r="J35" s="172"/>
      <c r="K35" s="175"/>
      <c r="L35" s="169"/>
      <c r="M35" s="167"/>
      <c r="N35" s="131" t="s">
        <v>155</v>
      </c>
      <c r="O35" s="119" t="str">
        <f t="shared" ca="1" si="0"/>
        <v>N/A</v>
      </c>
      <c r="P35" s="129" t="s">
        <v>28</v>
      </c>
      <c r="Q35" s="116" t="str">
        <f t="shared" si="2"/>
        <v>TBD</v>
      </c>
      <c r="R35" s="121">
        <f t="shared" si="3"/>
        <v>0</v>
      </c>
      <c r="S35" s="116" t="str">
        <f t="shared" ca="1" si="4"/>
        <v>No</v>
      </c>
    </row>
    <row r="36" spans="1:19" ht="67.5" x14ac:dyDescent="0.25">
      <c r="A36" s="166" t="s">
        <v>125</v>
      </c>
      <c r="B36" s="138" t="s">
        <v>126</v>
      </c>
      <c r="C36" s="116" t="s">
        <v>127</v>
      </c>
      <c r="D36" s="132" t="s">
        <v>128</v>
      </c>
      <c r="E36" s="168" t="s">
        <v>22</v>
      </c>
      <c r="F36" s="166" t="s">
        <v>23</v>
      </c>
      <c r="G36" s="141">
        <v>45839</v>
      </c>
      <c r="H36" s="171">
        <v>46203</v>
      </c>
      <c r="I36" s="168" t="s">
        <v>33</v>
      </c>
      <c r="J36" s="171">
        <v>46225</v>
      </c>
      <c r="K36" s="174" t="s">
        <v>25</v>
      </c>
      <c r="L36" s="168" t="s">
        <v>80</v>
      </c>
      <c r="M36" s="166" t="s">
        <v>11</v>
      </c>
      <c r="N36" s="138" t="s">
        <v>129</v>
      </c>
      <c r="O36" s="119">
        <f t="shared" ca="1" si="0"/>
        <v>107</v>
      </c>
      <c r="P36" s="129" t="str">
        <f ca="1">IF(K36="Completed","✅ DONE",IF(ISNUMBER(O36),IF(O36&lt;0,"🔴 OVERDUE",IF(O36&lt;=30,"🟠 URGENT",IF(O36&lt;=60,"🟡 SOON","🟢 ON TRACK"))),"⚪ TBD"))</f>
        <v>🟢 ON TRACK</v>
      </c>
      <c r="Q36" s="116" t="str">
        <f t="shared" si="2"/>
        <v>Q3 2026</v>
      </c>
      <c r="R36" s="121">
        <f t="shared" si="3"/>
        <v>0</v>
      </c>
      <c r="S36" s="116" t="str">
        <f t="shared" ca="1" si="4"/>
        <v>No</v>
      </c>
    </row>
    <row r="37" spans="1:19" ht="67.5" x14ac:dyDescent="0.25">
      <c r="A37" s="167"/>
      <c r="B37" s="138" t="s">
        <v>126</v>
      </c>
      <c r="C37" s="116" t="s">
        <v>149</v>
      </c>
      <c r="D37" s="132" t="s">
        <v>150</v>
      </c>
      <c r="E37" s="169"/>
      <c r="F37" s="167"/>
      <c r="G37" s="142">
        <v>45839</v>
      </c>
      <c r="H37" s="172"/>
      <c r="I37" s="169"/>
      <c r="J37" s="172"/>
      <c r="K37" s="175"/>
      <c r="L37" s="169"/>
      <c r="M37" s="167"/>
      <c r="N37" s="138" t="s">
        <v>129</v>
      </c>
      <c r="O37" s="119" t="str">
        <f t="shared" ca="1" si="0"/>
        <v>N/A</v>
      </c>
      <c r="P37" s="129" t="s">
        <v>28</v>
      </c>
      <c r="Q37" s="116" t="str">
        <f t="shared" si="2"/>
        <v>TBD</v>
      </c>
      <c r="R37" s="121">
        <f t="shared" si="3"/>
        <v>0</v>
      </c>
      <c r="S37" s="116" t="str">
        <f t="shared" ca="1" si="4"/>
        <v>No</v>
      </c>
    </row>
    <row r="38" spans="1:19" ht="67.5" x14ac:dyDescent="0.25">
      <c r="A38" s="167"/>
      <c r="B38" s="138" t="s">
        <v>126</v>
      </c>
      <c r="C38" s="116" t="s">
        <v>225</v>
      </c>
      <c r="D38" s="132" t="s">
        <v>226</v>
      </c>
      <c r="E38" s="169"/>
      <c r="F38" s="167"/>
      <c r="G38" s="142">
        <v>45839</v>
      </c>
      <c r="H38" s="172"/>
      <c r="I38" s="169"/>
      <c r="J38" s="172"/>
      <c r="K38" s="175"/>
      <c r="L38" s="169"/>
      <c r="M38" s="167"/>
      <c r="N38" s="138" t="s">
        <v>129</v>
      </c>
      <c r="O38" s="119" t="str">
        <f t="shared" ca="1" si="0"/>
        <v>N/A</v>
      </c>
      <c r="P38" s="129" t="s">
        <v>28</v>
      </c>
      <c r="Q38" s="116" t="str">
        <f t="shared" si="2"/>
        <v>TBD</v>
      </c>
      <c r="R38" s="121">
        <f t="shared" si="3"/>
        <v>0</v>
      </c>
      <c r="S38" s="116" t="str">
        <f t="shared" ca="1" si="4"/>
        <v>No</v>
      </c>
    </row>
    <row r="39" spans="1:19" ht="67.5" x14ac:dyDescent="0.25">
      <c r="A39" s="167"/>
      <c r="B39" s="138" t="s">
        <v>126</v>
      </c>
      <c r="C39" s="116" t="s">
        <v>227</v>
      </c>
      <c r="D39" s="132" t="s">
        <v>228</v>
      </c>
      <c r="E39" s="169"/>
      <c r="F39" s="167"/>
      <c r="G39" s="143">
        <v>45658</v>
      </c>
      <c r="H39" s="172"/>
      <c r="I39" s="169"/>
      <c r="J39" s="172"/>
      <c r="K39" s="175"/>
      <c r="L39" s="169"/>
      <c r="M39" s="167"/>
      <c r="N39" s="138" t="s">
        <v>129</v>
      </c>
      <c r="O39" s="119" t="str">
        <f t="shared" ca="1" si="0"/>
        <v>N/A</v>
      </c>
      <c r="P39" s="129" t="s">
        <v>28</v>
      </c>
      <c r="Q39" s="116" t="str">
        <f t="shared" si="2"/>
        <v>TBD</v>
      </c>
      <c r="R39" s="121">
        <f t="shared" si="3"/>
        <v>0</v>
      </c>
      <c r="S39" s="116" t="str">
        <f t="shared" ca="1" si="4"/>
        <v>No</v>
      </c>
    </row>
    <row r="40" spans="1:19" x14ac:dyDescent="0.25">
      <c r="A40" s="166" t="s">
        <v>120</v>
      </c>
      <c r="B40" s="131" t="s">
        <v>121</v>
      </c>
      <c r="C40" s="116" t="s">
        <v>122</v>
      </c>
      <c r="D40" s="132" t="s">
        <v>123</v>
      </c>
      <c r="E40" s="168" t="s">
        <v>22</v>
      </c>
      <c r="F40" s="168" t="s">
        <v>23</v>
      </c>
      <c r="G40" s="171">
        <v>45839</v>
      </c>
      <c r="H40" s="171">
        <v>46203</v>
      </c>
      <c r="I40" s="168" t="s">
        <v>33</v>
      </c>
      <c r="J40" s="171">
        <v>46241</v>
      </c>
      <c r="K40" s="174" t="s">
        <v>25</v>
      </c>
      <c r="L40" s="168" t="s">
        <v>80</v>
      </c>
      <c r="M40" s="166" t="s">
        <v>11</v>
      </c>
      <c r="N40" s="131" t="s">
        <v>124</v>
      </c>
      <c r="O40" s="119">
        <f t="shared" ca="1" si="0"/>
        <v>123</v>
      </c>
      <c r="P40" s="129" t="str">
        <f ca="1">IF(K40="Completed","✅ DONE",IF(ISNUMBER(O40),IF(O40&lt;0,"🔴 OVERDUE",IF(O40&lt;=30,"🟠 URGENT",IF(O40&lt;=60,"🟡 SOON","🟢 ON TRACK"))),"⚪ TBD"))</f>
        <v>🟢 ON TRACK</v>
      </c>
      <c r="Q40" s="116" t="str">
        <f t="shared" si="2"/>
        <v>Q3 2026</v>
      </c>
      <c r="R40" s="121">
        <f t="shared" si="3"/>
        <v>0</v>
      </c>
      <c r="S40" s="116" t="str">
        <f t="shared" ca="1" si="4"/>
        <v>No</v>
      </c>
    </row>
    <row r="41" spans="1:19" x14ac:dyDescent="0.25">
      <c r="A41" s="167"/>
      <c r="B41" s="131" t="s">
        <v>121</v>
      </c>
      <c r="C41" s="116" t="s">
        <v>207</v>
      </c>
      <c r="D41" s="132" t="s">
        <v>208</v>
      </c>
      <c r="E41" s="169"/>
      <c r="F41" s="169"/>
      <c r="G41" s="172"/>
      <c r="H41" s="172"/>
      <c r="I41" s="169"/>
      <c r="J41" s="172"/>
      <c r="K41" s="175"/>
      <c r="L41" s="169"/>
      <c r="M41" s="167"/>
      <c r="N41" s="131" t="s">
        <v>124</v>
      </c>
      <c r="O41" s="119" t="str">
        <f t="shared" ca="1" si="0"/>
        <v>N/A</v>
      </c>
      <c r="P41" s="129" t="s">
        <v>28</v>
      </c>
      <c r="Q41" s="116" t="str">
        <f t="shared" si="2"/>
        <v>TBD</v>
      </c>
      <c r="R41" s="121">
        <f t="shared" si="3"/>
        <v>0</v>
      </c>
      <c r="S41" s="116" t="str">
        <f t="shared" ca="1" si="4"/>
        <v>No</v>
      </c>
    </row>
    <row r="42" spans="1:19" x14ac:dyDescent="0.25">
      <c r="A42" s="167"/>
      <c r="B42" s="131" t="s">
        <v>121</v>
      </c>
      <c r="C42" s="116" t="s">
        <v>229</v>
      </c>
      <c r="D42" s="132" t="s">
        <v>230</v>
      </c>
      <c r="E42" s="169"/>
      <c r="F42" s="169"/>
      <c r="G42" s="172"/>
      <c r="H42" s="172"/>
      <c r="I42" s="169"/>
      <c r="J42" s="172"/>
      <c r="K42" s="175"/>
      <c r="L42" s="169"/>
      <c r="M42" s="167"/>
      <c r="N42" s="131" t="s">
        <v>124</v>
      </c>
      <c r="O42" s="119" t="str">
        <f t="shared" ca="1" si="0"/>
        <v>N/A</v>
      </c>
      <c r="P42" s="129" t="s">
        <v>28</v>
      </c>
      <c r="Q42" s="116" t="str">
        <f t="shared" si="2"/>
        <v>TBD</v>
      </c>
      <c r="R42" s="121">
        <f t="shared" si="3"/>
        <v>0</v>
      </c>
      <c r="S42" s="116" t="str">
        <f t="shared" ca="1" si="4"/>
        <v>No</v>
      </c>
    </row>
    <row r="43" spans="1:19" x14ac:dyDescent="0.25">
      <c r="A43" s="177"/>
      <c r="B43" s="131" t="s">
        <v>121</v>
      </c>
      <c r="C43" s="116" t="s">
        <v>231</v>
      </c>
      <c r="D43" s="132" t="s">
        <v>232</v>
      </c>
      <c r="E43" s="170"/>
      <c r="F43" s="170"/>
      <c r="G43" s="173"/>
      <c r="H43" s="173"/>
      <c r="I43" s="170"/>
      <c r="J43" s="173"/>
      <c r="K43" s="176"/>
      <c r="L43" s="170"/>
      <c r="M43" s="177"/>
      <c r="N43" s="131" t="s">
        <v>124</v>
      </c>
      <c r="O43" s="119" t="str">
        <f t="shared" ca="1" si="0"/>
        <v>N/A</v>
      </c>
      <c r="P43" s="129" t="s">
        <v>28</v>
      </c>
      <c r="Q43" s="116" t="str">
        <f t="shared" si="2"/>
        <v>TBD</v>
      </c>
      <c r="R43" s="121">
        <f t="shared" si="3"/>
        <v>0</v>
      </c>
      <c r="S43" s="116" t="str">
        <f t="shared" ca="1" si="4"/>
        <v>No</v>
      </c>
    </row>
    <row r="44" spans="1:19" x14ac:dyDescent="0.25">
      <c r="A44" s="110" t="s">
        <v>209</v>
      </c>
      <c r="B44" s="116" t="s">
        <v>210</v>
      </c>
      <c r="C44" s="116" t="s">
        <v>211</v>
      </c>
      <c r="D44" s="116" t="s">
        <v>212</v>
      </c>
      <c r="E44" s="110" t="s">
        <v>22</v>
      </c>
      <c r="F44" s="110" t="s">
        <v>23</v>
      </c>
      <c r="G44" s="144">
        <v>45292</v>
      </c>
      <c r="H44" s="144">
        <v>46022</v>
      </c>
      <c r="I44" s="110" t="s">
        <v>33</v>
      </c>
      <c r="J44" s="144">
        <v>46146</v>
      </c>
      <c r="K44" s="145" t="s">
        <v>248</v>
      </c>
      <c r="L44" s="110" t="s">
        <v>258</v>
      </c>
      <c r="M44" s="110" t="s">
        <v>11</v>
      </c>
      <c r="N44" s="116" t="s">
        <v>213</v>
      </c>
      <c r="O44" s="119">
        <f t="shared" ca="1" si="0"/>
        <v>28</v>
      </c>
      <c r="P44" s="126" t="str">
        <f ca="1">IF(K44="Completed","✅ DONE",IF(ISNUMBER(O44),IF(O44&lt;0,"🔴 OVERDUE",IF(O44&lt;=30,"🟠 URGENT",IF(O44&lt;=60,"🟡 SOON","🟢 ON TRACK"))),"⚪ TBD"))</f>
        <v>🟠 URGENT</v>
      </c>
      <c r="Q44" s="116" t="str">
        <f t="shared" si="2"/>
        <v>Q2 2026</v>
      </c>
      <c r="R44" s="121">
        <f t="shared" si="3"/>
        <v>0</v>
      </c>
      <c r="S44" s="116" t="str">
        <f t="shared" ca="1" si="4"/>
        <v>No</v>
      </c>
    </row>
    <row r="45" spans="1:19" x14ac:dyDescent="0.25">
      <c r="A45" s="116" t="s">
        <v>327</v>
      </c>
      <c r="B45" s="116" t="s">
        <v>328</v>
      </c>
      <c r="C45" s="116" t="s">
        <v>329</v>
      </c>
      <c r="D45" s="116" t="s">
        <v>330</v>
      </c>
      <c r="E45" s="116" t="s">
        <v>22</v>
      </c>
      <c r="F45" s="116" t="s">
        <v>238</v>
      </c>
      <c r="G45" s="117">
        <v>45778</v>
      </c>
      <c r="H45" s="117">
        <v>46142</v>
      </c>
      <c r="I45" s="116" t="s">
        <v>33</v>
      </c>
      <c r="J45" s="117">
        <v>46143</v>
      </c>
      <c r="K45" s="118" t="s">
        <v>25</v>
      </c>
      <c r="L45" s="116" t="s">
        <v>313</v>
      </c>
      <c r="M45" s="116" t="s">
        <v>26</v>
      </c>
      <c r="N45" s="116" t="s">
        <v>331</v>
      </c>
      <c r="O45" s="119">
        <f t="shared" ca="1" si="0"/>
        <v>25</v>
      </c>
      <c r="P45" s="120" t="str">
        <f ca="1">IF(K45="Completed","✅ DONE",IF(ISNUMBER(O45),IF(O45&lt;0,"🔴 OVERDUE",IF(O45&lt;=30,"🟠 URGENT",IF(O45&lt;=60,"🟡 SOON","🟢 ON TRACK"))),"⚪ TBD"))</f>
        <v>🟠 URGENT</v>
      </c>
      <c r="Q45" s="116" t="str">
        <f t="shared" si="2"/>
        <v>Q2 2026</v>
      </c>
      <c r="R45" s="121">
        <f t="shared" si="3"/>
        <v>0</v>
      </c>
      <c r="S45" s="116" t="str">
        <f t="shared" ca="1" si="4"/>
        <v>No</v>
      </c>
    </row>
  </sheetData>
  <autoFilter ref="A1:S45" xr:uid="{2FB1393E-E588-47E8-A9F3-189B66054AC7}"/>
  <mergeCells count="104">
    <mergeCell ref="A29:A30"/>
    <mergeCell ref="A32:A33"/>
    <mergeCell ref="A34:A35"/>
    <mergeCell ref="A36:A39"/>
    <mergeCell ref="A40:A43"/>
    <mergeCell ref="E10:E12"/>
    <mergeCell ref="E20:E22"/>
    <mergeCell ref="E29:E30"/>
    <mergeCell ref="E36:E39"/>
    <mergeCell ref="A16:A19"/>
    <mergeCell ref="A10:A12"/>
    <mergeCell ref="A13:A15"/>
    <mergeCell ref="A20:A22"/>
    <mergeCell ref="A24:A25"/>
    <mergeCell ref="A27:A28"/>
    <mergeCell ref="M13:M15"/>
    <mergeCell ref="E16:E19"/>
    <mergeCell ref="F16:F19"/>
    <mergeCell ref="G16:G19"/>
    <mergeCell ref="H16:H19"/>
    <mergeCell ref="I16:I19"/>
    <mergeCell ref="J16:J19"/>
    <mergeCell ref="L16:L19"/>
    <mergeCell ref="L10:L12"/>
    <mergeCell ref="E13:E15"/>
    <mergeCell ref="F13:F15"/>
    <mergeCell ref="G13:G15"/>
    <mergeCell ref="H13:H15"/>
    <mergeCell ref="I13:I15"/>
    <mergeCell ref="J13:J15"/>
    <mergeCell ref="K13:K15"/>
    <mergeCell ref="L13:L15"/>
    <mergeCell ref="F10:F12"/>
    <mergeCell ref="G10:G12"/>
    <mergeCell ref="H10:H12"/>
    <mergeCell ref="I10:I12"/>
    <mergeCell ref="J10:J12"/>
    <mergeCell ref="K10:K12"/>
    <mergeCell ref="M24:M25"/>
    <mergeCell ref="E27:E28"/>
    <mergeCell ref="F27:F28"/>
    <mergeCell ref="G27:G28"/>
    <mergeCell ref="H27:H28"/>
    <mergeCell ref="I27:I28"/>
    <mergeCell ref="J27:J28"/>
    <mergeCell ref="K27:K28"/>
    <mergeCell ref="L20:L22"/>
    <mergeCell ref="M20:M22"/>
    <mergeCell ref="E24:E25"/>
    <mergeCell ref="F24:F25"/>
    <mergeCell ref="G24:G25"/>
    <mergeCell ref="H24:H25"/>
    <mergeCell ref="I24:I25"/>
    <mergeCell ref="J24:J25"/>
    <mergeCell ref="K24:K25"/>
    <mergeCell ref="L24:L25"/>
    <mergeCell ref="F20:F22"/>
    <mergeCell ref="G20:G22"/>
    <mergeCell ref="H20:H22"/>
    <mergeCell ref="I20:I22"/>
    <mergeCell ref="J20:J22"/>
    <mergeCell ref="K20:K22"/>
    <mergeCell ref="L29:L30"/>
    <mergeCell ref="M29:M30"/>
    <mergeCell ref="E32:E33"/>
    <mergeCell ref="F32:F33"/>
    <mergeCell ref="G32:G33"/>
    <mergeCell ref="H32:H33"/>
    <mergeCell ref="I32:I33"/>
    <mergeCell ref="J32:J33"/>
    <mergeCell ref="K32:K33"/>
    <mergeCell ref="L32:L33"/>
    <mergeCell ref="F29:F30"/>
    <mergeCell ref="G29:G30"/>
    <mergeCell ref="H29:H30"/>
    <mergeCell ref="I29:I30"/>
    <mergeCell ref="J29:J30"/>
    <mergeCell ref="K29:K30"/>
    <mergeCell ref="M32:M33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M36:M39"/>
    <mergeCell ref="E40:E43"/>
    <mergeCell ref="F40:F43"/>
    <mergeCell ref="G40:G43"/>
    <mergeCell ref="H40:H43"/>
    <mergeCell ref="I40:I43"/>
    <mergeCell ref="J40:J43"/>
    <mergeCell ref="K40:K43"/>
    <mergeCell ref="L40:L43"/>
    <mergeCell ref="M40:M43"/>
    <mergeCell ref="F36:F39"/>
    <mergeCell ref="H36:H39"/>
    <mergeCell ref="I36:I39"/>
    <mergeCell ref="J36:J39"/>
    <mergeCell ref="K36:K39"/>
    <mergeCell ref="L36:L39"/>
  </mergeCells>
  <dataValidations count="1">
    <dataValidation type="list" allowBlank="1" showInputMessage="1" showErrorMessage="1" sqref="K2:K100" xr:uid="{F3E54942-76AB-489E-9D55-B1B2790E52C2}">
      <formula1>"Not Started,In progress,In Review,Completed,TBD,Assigned"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6F08-A18E-4063-9604-9E9128EF6942}">
  <dimension ref="A1:N52"/>
  <sheetViews>
    <sheetView workbookViewId="0">
      <selection activeCell="M5" sqref="M5:N5"/>
    </sheetView>
  </sheetViews>
  <sheetFormatPr defaultRowHeight="15.75" outlineLevelRow="1" x14ac:dyDescent="0.25"/>
  <cols>
    <col min="1" max="1" width="24.25" customWidth="1"/>
    <col min="2" max="2" width="12.5" customWidth="1"/>
    <col min="3" max="3" width="13.25" customWidth="1"/>
    <col min="4" max="4" width="2.5" customWidth="1"/>
    <col min="5" max="5" width="21.75" customWidth="1"/>
    <col min="6" max="6" width="13.25" customWidth="1"/>
    <col min="7" max="7" width="12.5" customWidth="1"/>
    <col min="8" max="8" width="2.5" customWidth="1"/>
    <col min="9" max="9" width="20" customWidth="1"/>
    <col min="10" max="11" width="12.5" customWidth="1"/>
    <col min="12" max="12" width="13.25" customWidth="1"/>
  </cols>
  <sheetData>
    <row r="1" spans="1:14" ht="55.15" customHeight="1" x14ac:dyDescent="0.25">
      <c r="A1" s="187" t="s">
        <v>448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</row>
    <row r="2" spans="1:14" ht="7.9" customHeight="1" x14ac:dyDescent="0.25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</row>
    <row r="3" spans="1:14" ht="28.15" customHeight="1" x14ac:dyDescent="0.25">
      <c r="A3" s="200" t="s">
        <v>449</v>
      </c>
      <c r="B3" s="200"/>
      <c r="C3" s="200"/>
      <c r="D3" s="200"/>
      <c r="E3" s="200"/>
      <c r="F3" s="200"/>
      <c r="G3" s="200"/>
      <c r="H3" s="200"/>
      <c r="I3" s="200"/>
      <c r="J3" s="200"/>
      <c r="K3" s="200"/>
      <c r="L3" s="200"/>
      <c r="M3" s="200"/>
      <c r="N3" s="200"/>
    </row>
    <row r="4" spans="1:14" ht="25.9" customHeight="1" x14ac:dyDescent="0.25">
      <c r="A4" s="189" t="s">
        <v>450</v>
      </c>
      <c r="B4" s="189"/>
      <c r="C4" s="190" t="s">
        <v>41</v>
      </c>
      <c r="D4" s="190"/>
      <c r="E4" s="191" t="s">
        <v>417</v>
      </c>
      <c r="F4" s="191"/>
      <c r="G4" s="192" t="s">
        <v>248</v>
      </c>
      <c r="H4" s="192"/>
      <c r="I4" s="193" t="s">
        <v>25</v>
      </c>
      <c r="J4" s="193"/>
      <c r="K4" s="194" t="s">
        <v>418</v>
      </c>
      <c r="L4" s="194"/>
      <c r="M4" s="186" t="s">
        <v>451</v>
      </c>
      <c r="N4" s="186"/>
    </row>
    <row r="5" spans="1:14" ht="45" customHeight="1" x14ac:dyDescent="0.25">
      <c r="A5" s="195">
        <f>COUNTA('Maintenance PSURs'!K:K)+COUNTA('BSI PSURs'!K:K)-2</f>
        <v>90</v>
      </c>
      <c r="B5" s="195"/>
      <c r="C5" s="196">
        <f>COUNTIF('Maintenance PSURs'!K:K,"Completed")+COUNTIF('BSI PSURs'!K:K,"Completed")</f>
        <v>11</v>
      </c>
      <c r="D5" s="196"/>
      <c r="E5" s="197">
        <f>COUNTIF('Maintenance PSURs'!K:K,"In progress")+COUNTIF('BSI PSURs'!K:K,"In progress")</f>
        <v>12</v>
      </c>
      <c r="F5" s="197"/>
      <c r="G5" s="198">
        <f>COUNTIF('Maintenance PSURs'!K:K,"In Review")+COUNTIF('BSI PSURs'!K:K,"In Review")</f>
        <v>9</v>
      </c>
      <c r="H5" s="198"/>
      <c r="I5" s="199">
        <f>COUNTIF('Maintenance PSURs'!K:K,"Not Started")+COUNTIF('BSI PSURs'!K:K,"Not Started")</f>
        <v>54</v>
      </c>
      <c r="J5" s="199"/>
      <c r="K5" s="188">
        <f ca="1">COUNTIF('Maintenance PSURs'!S:S,"⚠️ YES")+COUNTIF('BSI PSURs'!S:S,"⚠️ YES")</f>
        <v>13</v>
      </c>
      <c r="L5" s="188"/>
      <c r="M5" s="185">
        <f>IF(A5&gt;0,C5/A5,0)</f>
        <v>0.12222222222222222</v>
      </c>
      <c r="N5" s="186"/>
    </row>
    <row r="6" spans="1:14" ht="13.9" customHeight="1" thickBot="1" x14ac:dyDescent="0.3">
      <c r="A6" s="69"/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</row>
    <row r="7" spans="1:14" ht="28.15" customHeight="1" x14ac:dyDescent="0.25">
      <c r="A7" s="203" t="s">
        <v>452</v>
      </c>
      <c r="B7" s="204"/>
      <c r="C7" s="205"/>
      <c r="D7" s="69"/>
      <c r="E7" s="203" t="s">
        <v>453</v>
      </c>
      <c r="F7" s="204"/>
      <c r="G7" s="205"/>
      <c r="H7" s="69"/>
      <c r="I7" s="203" t="s">
        <v>454</v>
      </c>
      <c r="J7" s="204"/>
      <c r="K7" s="204"/>
      <c r="L7" s="205"/>
    </row>
    <row r="8" spans="1:14" ht="22.15" customHeight="1" x14ac:dyDescent="0.25">
      <c r="A8" s="74" t="s">
        <v>10</v>
      </c>
      <c r="B8" s="70" t="s">
        <v>455</v>
      </c>
      <c r="C8" s="78" t="s">
        <v>456</v>
      </c>
      <c r="D8" s="69"/>
      <c r="E8" s="74" t="s">
        <v>233</v>
      </c>
      <c r="F8" s="70" t="s">
        <v>257</v>
      </c>
      <c r="G8" s="78" t="s">
        <v>41</v>
      </c>
      <c r="H8" s="69"/>
      <c r="I8" s="74" t="s">
        <v>15</v>
      </c>
      <c r="J8" s="70" t="s">
        <v>457</v>
      </c>
      <c r="K8" s="70" t="s">
        <v>41</v>
      </c>
      <c r="L8" s="78" t="s">
        <v>458</v>
      </c>
    </row>
    <row r="9" spans="1:14" ht="22.15" customHeight="1" x14ac:dyDescent="0.25">
      <c r="A9" s="75" t="s">
        <v>41</v>
      </c>
      <c r="B9" s="71">
        <f>COUNTIF('Maintenance PSURs'!K:K,"Completed")+COUNTIF('BSI PSURs'!K:K,"Completed")</f>
        <v>11</v>
      </c>
      <c r="C9" s="79">
        <f t="shared" ref="C9:C14" si="0">IF($A$5&gt;0,B9/$A$5,0)</f>
        <v>0.12222222222222222</v>
      </c>
      <c r="D9" s="69"/>
      <c r="E9" s="75" t="s">
        <v>258</v>
      </c>
      <c r="F9" s="71">
        <f>COUNTIF('Maintenance PSURs'!L:L,"Harish")+COUNTIF('BSI PSURs'!L:L,"Harish")</f>
        <v>16</v>
      </c>
      <c r="G9" s="100">
        <f>COUNTIFS('Maintenance PSURs'!L:L,"Harish",'Maintenance PSURs'!K:K,"Completed")+COUNTIFS('BSI PSURs'!L:L,"Harish",'BSI PSURs'!K:K,"Completed")</f>
        <v>5</v>
      </c>
      <c r="H9" s="69"/>
      <c r="I9" s="75" t="s">
        <v>44</v>
      </c>
      <c r="J9" s="71">
        <f>COUNTIF('Maintenance PSURs'!Q:Q,"Q1 2026")+COUNTIF('BSI PSURs'!Q:Q,"Q1 2026")</f>
        <v>21</v>
      </c>
      <c r="K9" s="71">
        <f>COUNTIFS('Maintenance PSURs'!Q:Q,"Q1 2026",'Maintenance PSURs'!K:K,"Completed")+COUNTIFS('BSI PSURs'!Q:Q,"Q1 2026",'BSI PSURs'!K:K,"Completed")</f>
        <v>9</v>
      </c>
      <c r="L9" s="79">
        <f>IF(J9&gt;0,K9/J9,0)</f>
        <v>0.42857142857142855</v>
      </c>
    </row>
    <row r="10" spans="1:14" ht="22.15" customHeight="1" x14ac:dyDescent="0.25">
      <c r="A10" s="76" t="s">
        <v>55</v>
      </c>
      <c r="B10" s="72">
        <f>COUNTIF('Maintenance PSURs'!K:K,"In progress")+COUNTIF('BSI PSURs'!K:K,"In progress")</f>
        <v>12</v>
      </c>
      <c r="C10" s="80">
        <f t="shared" si="0"/>
        <v>0.13333333333333333</v>
      </c>
      <c r="D10" s="69"/>
      <c r="E10" s="76" t="s">
        <v>262</v>
      </c>
      <c r="F10" s="72">
        <f>COUNTIF('Maintenance PSURs'!L:L,"Jeff")+COUNTIF('BSI PSURs'!L:L,"Jeff")</f>
        <v>13</v>
      </c>
      <c r="G10" s="101">
        <f>COUNTIFS('Maintenance PSURs'!L:L,"Jeff",'Maintenance PSURs'!K:K,"Completed")+COUNTIFS('BSI PSURs'!L:L,"Jeff",'BSI PSURs'!K:K,"Completed")</f>
        <v>2</v>
      </c>
      <c r="H10" s="69"/>
      <c r="I10" s="76" t="s">
        <v>36</v>
      </c>
      <c r="J10" s="72">
        <f>COUNTIF('Maintenance PSURs'!Q:Q,"Q2 2026")+COUNTIF('BSI PSURs'!Q:Q,"Q2 2026")</f>
        <v>24</v>
      </c>
      <c r="K10" s="72">
        <f>COUNTIFS('Maintenance PSURs'!Q:Q,"Q2 2026",'Maintenance PSURs'!K:K,"Completed")+COUNTIFS('BSI PSURs'!Q:Q,"Q2 2026",'BSI PSURs'!K:K,"Completed")</f>
        <v>0</v>
      </c>
      <c r="L10" s="80">
        <f>IF(J10&gt;0,K10/J10,0)</f>
        <v>0</v>
      </c>
    </row>
    <row r="11" spans="1:14" ht="22.15" customHeight="1" x14ac:dyDescent="0.25">
      <c r="A11" s="75" t="s">
        <v>248</v>
      </c>
      <c r="B11" s="71">
        <f>COUNTIF('Maintenance PSURs'!K:K,"In Review")+COUNTIF('BSI PSURs'!K:K,"In Review")</f>
        <v>9</v>
      </c>
      <c r="C11" s="79">
        <f t="shared" si="0"/>
        <v>0.1</v>
      </c>
      <c r="D11" s="69"/>
      <c r="E11" s="75" t="s">
        <v>313</v>
      </c>
      <c r="F11" s="71">
        <f>COUNTIF('Maintenance PSURs'!L:L,"Venkata")+COUNTIF('BSI PSURs'!L:L,"Venkata")</f>
        <v>15</v>
      </c>
      <c r="G11" s="100">
        <f>COUNTIFS('Maintenance PSURs'!L:L,"Venkata",'Maintenance PSURs'!K:K,"Completed")+COUNTIFS('BSI PSURs'!L:L,"Venkata",'BSI PSURs'!K:K,"Completed")</f>
        <v>2</v>
      </c>
      <c r="H11" s="69"/>
      <c r="I11" s="75" t="s">
        <v>459</v>
      </c>
      <c r="J11" s="113">
        <f>A5-J9-J10</f>
        <v>45</v>
      </c>
      <c r="K11" s="113">
        <f>C5-K9-K10</f>
        <v>2</v>
      </c>
      <c r="L11" s="79">
        <f>IF(J11&gt;0,K11/J11,0)</f>
        <v>4.4444444444444446E-2</v>
      </c>
    </row>
    <row r="12" spans="1:14" ht="22.15" customHeight="1" thickBot="1" x14ac:dyDescent="0.3">
      <c r="A12" s="76" t="s">
        <v>257</v>
      </c>
      <c r="B12" s="72">
        <f>COUNTIF('Maintenance PSURs'!K:K,"Assigned")+COUNTIF('BSI PSURs'!K:K,"Assigned")</f>
        <v>2</v>
      </c>
      <c r="C12" s="80">
        <f t="shared" si="0"/>
        <v>2.2222222222222223E-2</v>
      </c>
      <c r="D12" s="69"/>
      <c r="E12" s="76" t="s">
        <v>242</v>
      </c>
      <c r="F12" s="72">
        <f>COUNTIF('Maintenance PSURs'!L:L,"Terence")+COUNTIF('BSI PSURs'!L:L,"Terence")</f>
        <v>14</v>
      </c>
      <c r="G12" s="101">
        <f>COUNTIFS('Maintenance PSURs'!L:L,"Terence",'Maintenance PSURs'!K:K,"Completed")+COUNTIFS('BSI PSURs'!L:L,"Terence",'BSI PSURs'!K:K,"Completed")</f>
        <v>2</v>
      </c>
      <c r="H12" s="69"/>
      <c r="I12" s="83" t="s">
        <v>423</v>
      </c>
      <c r="J12" s="82">
        <f>A5</f>
        <v>90</v>
      </c>
      <c r="K12" s="82">
        <f>C5</f>
        <v>11</v>
      </c>
      <c r="L12" s="84">
        <f>M5</f>
        <v>0.12222222222222222</v>
      </c>
    </row>
    <row r="13" spans="1:14" ht="22.15" customHeight="1" thickBot="1" x14ac:dyDescent="0.3">
      <c r="A13" s="75" t="s">
        <v>25</v>
      </c>
      <c r="B13" s="71">
        <f>COUNTIF('Maintenance PSURs'!K:K,"Not Started")+COUNTIF('BSI PSURs'!K:K,"Not Started")</f>
        <v>54</v>
      </c>
      <c r="C13" s="79">
        <f t="shared" si="0"/>
        <v>0.6</v>
      </c>
      <c r="D13" s="69"/>
      <c r="E13" s="83" t="s">
        <v>423</v>
      </c>
      <c r="F13" s="82">
        <f>SUM(F9:F12)</f>
        <v>58</v>
      </c>
      <c r="G13" s="102">
        <f>SUM(G9:G12)</f>
        <v>11</v>
      </c>
      <c r="H13" s="69"/>
      <c r="I13" s="69"/>
      <c r="J13" s="69"/>
      <c r="K13" s="69"/>
      <c r="L13" s="69"/>
    </row>
    <row r="14" spans="1:14" ht="22.15" customHeight="1" thickBot="1" x14ac:dyDescent="0.3">
      <c r="A14" s="77" t="s">
        <v>80</v>
      </c>
      <c r="B14" s="73">
        <f>COUNTIF('Maintenance PSURs'!K:K,"TBD")+COUNTIF('BSI PSURs'!K:K,"TBD")</f>
        <v>2</v>
      </c>
      <c r="C14" s="81">
        <f t="shared" si="0"/>
        <v>2.2222222222222223E-2</v>
      </c>
      <c r="D14" s="69"/>
      <c r="E14" s="69"/>
      <c r="F14" s="69"/>
      <c r="G14" s="69"/>
      <c r="H14" s="69"/>
      <c r="I14" s="69"/>
      <c r="J14" s="69"/>
      <c r="K14" s="69"/>
      <c r="L14" s="69"/>
    </row>
    <row r="15" spans="1:14" ht="13.9" customHeight="1" thickBo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</row>
    <row r="16" spans="1:14" ht="28.15" customHeight="1" x14ac:dyDescent="0.25">
      <c r="A16" s="203" t="s">
        <v>460</v>
      </c>
      <c r="B16" s="204"/>
      <c r="C16" s="205"/>
      <c r="D16" s="69"/>
      <c r="E16" s="203" t="s">
        <v>461</v>
      </c>
      <c r="F16" s="204"/>
      <c r="G16" s="205"/>
      <c r="H16" s="69"/>
      <c r="I16" s="203" t="s">
        <v>462</v>
      </c>
      <c r="J16" s="204"/>
      <c r="K16" s="204"/>
      <c r="L16" s="205"/>
    </row>
    <row r="17" spans="1:12" ht="22.15" customHeight="1" x14ac:dyDescent="0.25">
      <c r="A17" s="74" t="s">
        <v>4</v>
      </c>
      <c r="B17" s="70" t="s">
        <v>455</v>
      </c>
      <c r="C17" s="78" t="s">
        <v>456</v>
      </c>
      <c r="D17" s="69"/>
      <c r="E17" s="74" t="s">
        <v>14</v>
      </c>
      <c r="F17" s="70" t="s">
        <v>455</v>
      </c>
      <c r="G17" s="78" t="s">
        <v>456</v>
      </c>
      <c r="H17" s="69"/>
      <c r="I17" s="74" t="s">
        <v>463</v>
      </c>
      <c r="J17" s="70" t="s">
        <v>455</v>
      </c>
      <c r="K17" s="88"/>
      <c r="L17" s="95"/>
    </row>
    <row r="18" spans="1:12" ht="22.15" customHeight="1" x14ac:dyDescent="0.25">
      <c r="A18" s="75" t="s">
        <v>464</v>
      </c>
      <c r="B18" s="71">
        <f>COUNTIF('Maintenance PSURs'!E:E,"III")+COUNTIF('BSI PSURs'!E:E,"III")</f>
        <v>37</v>
      </c>
      <c r="C18" s="79">
        <f>IF($A$5&gt;0,B18/$A$5,0)</f>
        <v>0.41111111111111109</v>
      </c>
      <c r="D18" s="69"/>
      <c r="E18" s="75" t="s">
        <v>115</v>
      </c>
      <c r="F18" s="71">
        <f ca="1">COUNTIFS('Maintenance PSURs'!P2:P200,"🔴 OVERDUE",'Maintenance PSURs'!K2:K200,"&lt;&gt;")+COUNTIFS('BSI PSURs'!P2:P50,"🔴 OVERDUE",'BSI PSURs'!K2:K50,"&lt;&gt;")</f>
        <v>10</v>
      </c>
      <c r="G18" s="79">
        <f t="shared" ref="G18:G23" ca="1" si="1">IF($A$5&gt;0,F18/$A$5,0)</f>
        <v>0.1111111111111111</v>
      </c>
      <c r="H18" s="69"/>
      <c r="I18" s="91" t="s">
        <v>465</v>
      </c>
      <c r="J18" s="103" cm="1">
        <f t="array" aca="1" ref="J18" ca="1">SUMPRODUCT((('Maintenance PSURs'!J:J&gt;=TODAY())*('Maintenance PSURs'!J:J&lt;=TODAY()+7)*1))+SUMPRODUCT((('BSI PSURs'!J:J&gt;=TODAY())*('BSI PSURs'!J:J&lt;=TODAY()+7)*1))</f>
        <v>2</v>
      </c>
      <c r="K18" s="89"/>
      <c r="L18" s="96"/>
    </row>
    <row r="19" spans="1:12" ht="22.15" customHeight="1" x14ac:dyDescent="0.25">
      <c r="A19" s="76" t="s">
        <v>466</v>
      </c>
      <c r="B19" s="72">
        <f>COUNTIF('Maintenance PSURs'!E:E,"IIb")+COUNTIF('Maintenance PSURs'!E:E,"IIB")+COUNTIF('BSI PSURs'!E:E,"IIb")+COUNTIF('BSI PSURs'!E:E,"IIB")</f>
        <v>16</v>
      </c>
      <c r="C19" s="80">
        <f>IF($A$5&gt;0,B19/$A$5,0)</f>
        <v>0.17777777777777778</v>
      </c>
      <c r="D19" s="69"/>
      <c r="E19" s="76" t="s">
        <v>50</v>
      </c>
      <c r="F19" s="72">
        <f ca="1">COUNTIFS('Maintenance PSURs'!P2:P200,"🟠 URGENT",'Maintenance PSURs'!K2:K200,"&lt;&gt;")+COUNTIFS('BSI PSURs'!P2:P50,"🟠 URGENT",'BSI PSURs'!K2:K50,"&lt;&gt;")</f>
        <v>12</v>
      </c>
      <c r="G19" s="80">
        <f t="shared" ca="1" si="1"/>
        <v>0.13333333333333333</v>
      </c>
      <c r="H19" s="69"/>
      <c r="I19" s="92" t="s">
        <v>467</v>
      </c>
      <c r="J19" s="104" cm="1">
        <f t="array" aca="1" ref="J19" ca="1">SUMPRODUCT((('Maintenance PSURs'!J:J&gt;=TODAY())*('Maintenance PSURs'!J:J&lt;=TODAY()+14)*1))+SUMPRODUCT((('BSI PSURs'!J:J&gt;=TODAY())*('BSI PSURs'!J:J&lt;=TODAY()+14)*1))</f>
        <v>3</v>
      </c>
      <c r="K19" s="89"/>
      <c r="L19" s="96"/>
    </row>
    <row r="20" spans="1:12" ht="22.15" customHeight="1" x14ac:dyDescent="0.25">
      <c r="A20" s="75" t="s">
        <v>468</v>
      </c>
      <c r="B20" s="71">
        <f>COUNTIF('Maintenance PSURs'!E:E,"IIa")+COUNTIF('BSI PSURs'!E:E,"IIa")</f>
        <v>22</v>
      </c>
      <c r="C20" s="79">
        <f>IF($A$5&gt;0,B20/$A$5,0)</f>
        <v>0.24444444444444444</v>
      </c>
      <c r="D20" s="69"/>
      <c r="E20" s="75" t="s">
        <v>35</v>
      </c>
      <c r="F20" s="71">
        <f ca="1">COUNTIFS('Maintenance PSURs'!P2:P200,"🟡 SOON",'Maintenance PSURs'!K2:K200,"&lt;&gt;")+COUNTIFS('BSI PSURs'!P2:P50,"🟡 SOON",'BSI PSURs'!K2:K50,"&lt;&gt;")</f>
        <v>11</v>
      </c>
      <c r="G20" s="79">
        <f t="shared" ca="1" si="1"/>
        <v>0.12222222222222222</v>
      </c>
      <c r="H20" s="69"/>
      <c r="I20" s="93" t="s">
        <v>469</v>
      </c>
      <c r="J20" s="105" cm="1">
        <f t="array" aca="1" ref="J20" ca="1">SUMPRODUCT((('Maintenance PSURs'!J:J&gt;=TODAY())*('Maintenance PSURs'!J:J&lt;=TODAY()+30)*1))+SUMPRODUCT((('BSI PSURs'!J:J&gt;=TODAY())*('BSI PSURs'!J:J&lt;=TODAY()+30)*1))</f>
        <v>6</v>
      </c>
      <c r="K20" s="89"/>
      <c r="L20" s="96"/>
    </row>
    <row r="21" spans="1:12" ht="22.15" customHeight="1" thickBot="1" x14ac:dyDescent="0.3">
      <c r="A21" s="77" t="s">
        <v>470</v>
      </c>
      <c r="B21" s="73">
        <f>COUNTIF('Maintenance PSURs'!E:E,"I")+COUNTIF('Maintenance PSURs'!E:E,"Is")+COUNTIF('BSI PSURs'!E:E,"I")+COUNTIF('BSI PSURs'!E:E,"Is")</f>
        <v>20</v>
      </c>
      <c r="C21" s="81">
        <f>IF($A$5&gt;0,B21/$A$5,0)</f>
        <v>0.22222222222222221</v>
      </c>
      <c r="D21" s="69"/>
      <c r="E21" s="76" t="s">
        <v>28</v>
      </c>
      <c r="F21" s="72">
        <f ca="1">COUNTIFS('Maintenance PSURs'!P2:P200,"🟢 ON TRACK",'Maintenance PSURs'!K2:K200,"&lt;&gt;")+COUNTIFS('BSI PSURs'!P2:P50,"🟢 ON TRACK",'BSI PSURs'!K2:K50,"&lt;&gt;")</f>
        <v>28</v>
      </c>
      <c r="G21" s="80">
        <f t="shared" ca="1" si="1"/>
        <v>0.31111111111111112</v>
      </c>
      <c r="H21" s="69"/>
      <c r="I21" s="91" t="s">
        <v>471</v>
      </c>
      <c r="J21" s="103">
        <f ca="1">K5</f>
        <v>13</v>
      </c>
      <c r="K21" s="89"/>
      <c r="L21" s="96"/>
    </row>
    <row r="22" spans="1:12" ht="16.5" thickBot="1" x14ac:dyDescent="0.3">
      <c r="A22" s="69"/>
      <c r="B22" s="69"/>
      <c r="C22" s="69"/>
      <c r="D22" s="69"/>
      <c r="E22" s="86" t="s">
        <v>43</v>
      </c>
      <c r="F22" s="85">
        <f ca="1">COUNTIFS('Maintenance PSURs'!P2:P200,"✅ DONE",'Maintenance PSURs'!K2:K200,"&lt;&gt;")+COUNTIFS('BSI PSURs'!P2:P50,"✅ DONE",'BSI PSURs'!K2:K50,"&lt;&gt;")</f>
        <v>11</v>
      </c>
      <c r="G22" s="87">
        <f t="shared" ca="1" si="1"/>
        <v>0.12222222222222222</v>
      </c>
      <c r="H22" s="69"/>
      <c r="I22" s="94" t="s">
        <v>472</v>
      </c>
      <c r="J22" s="106">
        <f ca="1">IFERROR(ROUND(AVERAGEIF('Maintenance PSURs'!O:O,"&gt;0")+AVERAGEIF('BSI PSURs'!O:O,"&gt;0"),0)/2,"-")</f>
        <v>82</v>
      </c>
      <c r="K22" s="90"/>
      <c r="L22" s="97"/>
    </row>
    <row r="23" spans="1:12" ht="13.9" customHeight="1" thickBot="1" x14ac:dyDescent="0.3">
      <c r="A23" s="69"/>
      <c r="B23" s="69"/>
      <c r="C23" s="69"/>
      <c r="D23" s="69"/>
      <c r="E23" s="77" t="s">
        <v>190</v>
      </c>
      <c r="F23" s="73">
        <f ca="1">COUNTIFS('Maintenance PSURs'!P2:P200,"⚪ TBD",'Maintenance PSURs'!K2:K200,"&lt;&gt;")+COUNTIFS('BSI PSURs'!P2:P50,"⚪ TBD",'BSI PSURs'!K2:K50,"&lt;&gt;")</f>
        <v>18</v>
      </c>
      <c r="G23" s="81">
        <f t="shared" ca="1" si="1"/>
        <v>0.2</v>
      </c>
      <c r="H23" s="69"/>
      <c r="I23" s="69"/>
      <c r="J23" s="69"/>
      <c r="K23" s="69"/>
      <c r="L23" s="69"/>
    </row>
    <row r="24" spans="1:12" ht="28.15" customHeight="1" x14ac:dyDescent="0.25">
      <c r="A24" s="201" t="s">
        <v>473</v>
      </c>
      <c r="B24" s="155"/>
      <c r="C24" s="155"/>
      <c r="D24" s="69"/>
      <c r="E24" s="201" t="s">
        <v>474</v>
      </c>
      <c r="F24" s="155"/>
      <c r="G24" s="155"/>
      <c r="H24" s="69"/>
      <c r="I24" s="201" t="s">
        <v>475</v>
      </c>
      <c r="J24" s="155"/>
      <c r="K24" s="155"/>
      <c r="L24" s="155"/>
    </row>
    <row r="25" spans="1:12" x14ac:dyDescent="0.25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</row>
    <row r="26" spans="1:12" x14ac:dyDescent="0.25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</row>
    <row r="27" spans="1:12" x14ac:dyDescent="0.25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</row>
    <row r="28" spans="1:12" x14ac:dyDescent="0.25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</row>
    <row r="29" spans="1:12" x14ac:dyDescent="0.25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</row>
    <row r="30" spans="1:12" x14ac:dyDescent="0.25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</row>
    <row r="31" spans="1:12" x14ac:dyDescent="0.25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</row>
    <row r="32" spans="1:12" x14ac:dyDescent="0.25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</row>
    <row r="33" spans="1:12" x14ac:dyDescent="0.25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</row>
    <row r="34" spans="1:12" x14ac:dyDescent="0.25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</row>
    <row r="35" spans="1:12" x14ac:dyDescent="0.25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</row>
    <row r="36" spans="1:12" x14ac:dyDescent="0.25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</row>
    <row r="37" spans="1:12" x14ac:dyDescent="0.25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</row>
    <row r="38" spans="1:12" x14ac:dyDescent="0.2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</row>
    <row r="39" spans="1:12" x14ac:dyDescent="0.25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</row>
    <row r="40" spans="1:12" x14ac:dyDescent="0.25">
      <c r="A40" s="202" t="s">
        <v>481</v>
      </c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</row>
    <row r="41" spans="1:12" x14ac:dyDescent="0.25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</row>
    <row r="42" spans="1:12" x14ac:dyDescent="0.25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</row>
    <row r="43" spans="1:12" x14ac:dyDescent="0.25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</row>
    <row r="44" spans="1:12" x14ac:dyDescent="0.25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</row>
    <row r="45" spans="1:12" hidden="1" outlineLevel="1" x14ac:dyDescent="0.25">
      <c r="A45" s="98" t="s">
        <v>10</v>
      </c>
      <c r="B45" s="98" t="s">
        <v>455</v>
      </c>
      <c r="C45" s="98"/>
      <c r="D45" s="98" t="s">
        <v>233</v>
      </c>
      <c r="E45" s="98" t="s">
        <v>257</v>
      </c>
      <c r="F45" s="98" t="s">
        <v>41</v>
      </c>
      <c r="G45" s="98"/>
      <c r="H45" s="98" t="s">
        <v>14</v>
      </c>
      <c r="I45" s="98" t="s">
        <v>455</v>
      </c>
      <c r="J45" s="69"/>
      <c r="K45" s="69"/>
      <c r="L45" s="69"/>
    </row>
    <row r="46" spans="1:12" hidden="1" outlineLevel="1" x14ac:dyDescent="0.25">
      <c r="A46" s="99" t="s">
        <v>41</v>
      </c>
      <c r="B46" s="99">
        <f>B9</f>
        <v>11</v>
      </c>
      <c r="C46" s="99"/>
      <c r="D46" s="99" t="s">
        <v>258</v>
      </c>
      <c r="E46" s="99">
        <f t="shared" ref="E46:F49" si="2">F9</f>
        <v>16</v>
      </c>
      <c r="F46" s="99">
        <f t="shared" si="2"/>
        <v>5</v>
      </c>
      <c r="G46" s="99"/>
      <c r="H46" s="99" t="s">
        <v>476</v>
      </c>
      <c r="I46" s="99">
        <f t="shared" ref="I46:I51" ca="1" si="3">F18</f>
        <v>10</v>
      </c>
    </row>
    <row r="47" spans="1:12" hidden="1" outlineLevel="1" x14ac:dyDescent="0.25">
      <c r="A47" s="99" t="s">
        <v>417</v>
      </c>
      <c r="B47" s="99">
        <f>B10</f>
        <v>12</v>
      </c>
      <c r="C47" s="99"/>
      <c r="D47" s="99" t="s">
        <v>262</v>
      </c>
      <c r="E47" s="99">
        <f t="shared" si="2"/>
        <v>13</v>
      </c>
      <c r="F47" s="99">
        <f t="shared" si="2"/>
        <v>2</v>
      </c>
      <c r="G47" s="99"/>
      <c r="H47" s="99" t="s">
        <v>477</v>
      </c>
      <c r="I47" s="99">
        <f t="shared" ca="1" si="3"/>
        <v>12</v>
      </c>
    </row>
    <row r="48" spans="1:12" hidden="1" outlineLevel="1" x14ac:dyDescent="0.25">
      <c r="A48" s="98" t="s">
        <v>248</v>
      </c>
      <c r="B48" s="99">
        <f>B11</f>
        <v>9</v>
      </c>
      <c r="C48" s="99"/>
      <c r="D48" s="98" t="s">
        <v>313</v>
      </c>
      <c r="E48" s="99">
        <f t="shared" si="2"/>
        <v>15</v>
      </c>
      <c r="F48" s="99">
        <f t="shared" si="2"/>
        <v>2</v>
      </c>
      <c r="G48" s="99"/>
      <c r="H48" s="98" t="s">
        <v>478</v>
      </c>
      <c r="I48" s="99">
        <f t="shared" ca="1" si="3"/>
        <v>11</v>
      </c>
    </row>
    <row r="49" spans="1:9" hidden="1" outlineLevel="1" x14ac:dyDescent="0.25">
      <c r="A49" s="98" t="s">
        <v>25</v>
      </c>
      <c r="B49" s="99">
        <f>B13</f>
        <v>54</v>
      </c>
      <c r="C49" s="99"/>
      <c r="D49" s="98" t="s">
        <v>242</v>
      </c>
      <c r="E49" s="99">
        <f t="shared" si="2"/>
        <v>14</v>
      </c>
      <c r="F49" s="99">
        <f t="shared" si="2"/>
        <v>2</v>
      </c>
      <c r="G49" s="99"/>
      <c r="H49" s="98" t="s">
        <v>479</v>
      </c>
      <c r="I49" s="99">
        <f t="shared" ca="1" si="3"/>
        <v>28</v>
      </c>
    </row>
    <row r="50" spans="1:9" hidden="1" outlineLevel="1" x14ac:dyDescent="0.25">
      <c r="A50" s="99" t="s">
        <v>80</v>
      </c>
      <c r="B50" s="99">
        <f>B14</f>
        <v>2</v>
      </c>
      <c r="C50" s="99"/>
      <c r="D50" s="99"/>
      <c r="E50" s="99"/>
      <c r="F50" s="99"/>
      <c r="G50" s="99"/>
      <c r="H50" s="98" t="s">
        <v>480</v>
      </c>
      <c r="I50" s="99">
        <f t="shared" ca="1" si="3"/>
        <v>11</v>
      </c>
    </row>
    <row r="51" spans="1:9" hidden="1" outlineLevel="1" x14ac:dyDescent="0.25">
      <c r="A51" s="99"/>
      <c r="B51" s="99"/>
      <c r="C51" s="99"/>
      <c r="D51" s="99"/>
      <c r="E51" s="99"/>
      <c r="F51" s="99"/>
      <c r="G51" s="99"/>
      <c r="H51" s="99" t="s">
        <v>80</v>
      </c>
      <c r="I51" s="99">
        <f t="shared" ca="1" si="3"/>
        <v>18</v>
      </c>
    </row>
    <row r="52" spans="1:9" collapsed="1" x14ac:dyDescent="0.25"/>
  </sheetData>
  <mergeCells count="26">
    <mergeCell ref="A24:C24"/>
    <mergeCell ref="E24:G24"/>
    <mergeCell ref="I24:L24"/>
    <mergeCell ref="A40:L40"/>
    <mergeCell ref="A7:C7"/>
    <mergeCell ref="E7:G7"/>
    <mergeCell ref="I7:L7"/>
    <mergeCell ref="A16:C16"/>
    <mergeCell ref="E16:G16"/>
    <mergeCell ref="I16:L16"/>
    <mergeCell ref="M5:N5"/>
    <mergeCell ref="A1:N1"/>
    <mergeCell ref="K5:L5"/>
    <mergeCell ref="A4:B4"/>
    <mergeCell ref="C4:D4"/>
    <mergeCell ref="E4:F4"/>
    <mergeCell ref="G4:H4"/>
    <mergeCell ref="I4:J4"/>
    <mergeCell ref="K4:L4"/>
    <mergeCell ref="A5:B5"/>
    <mergeCell ref="C5:D5"/>
    <mergeCell ref="E5:F5"/>
    <mergeCell ref="G5:H5"/>
    <mergeCell ref="I5:J5"/>
    <mergeCell ref="A3:N3"/>
    <mergeCell ref="M4:N4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8cb3bad-90df-40e3-9ac8-a127c82fcbd4" xsi:nil="true"/>
    <lcf76f155ced4ddcb4097134ff3c332f xmlns="fc7f3e65-d8a1-4635-83e2-0277e4c3b77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771640B107C340AE186BE528581A5E" ma:contentTypeVersion="16" ma:contentTypeDescription="Create a new document." ma:contentTypeScope="" ma:versionID="7db13f2cbb34e96fcc5869d9532f2a66">
  <xsd:schema xmlns:xsd="http://www.w3.org/2001/XMLSchema" xmlns:xs="http://www.w3.org/2001/XMLSchema" xmlns:p="http://schemas.microsoft.com/office/2006/metadata/properties" xmlns:ns2="fc7f3e65-d8a1-4635-83e2-0277e4c3b77d" xmlns:ns3="f8cb3bad-90df-40e3-9ac8-a127c82fcbd4" targetNamespace="http://schemas.microsoft.com/office/2006/metadata/properties" ma:root="true" ma:fieldsID="992817fa6ce50ea15398831a01c7a1c8" ns2:_="" ns3:_="">
    <xsd:import namespace="fc7f3e65-d8a1-4635-83e2-0277e4c3b77d"/>
    <xsd:import namespace="f8cb3bad-90df-40e3-9ac8-a127c82fcbd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7f3e65-d8a1-4635-83e2-0277e4c3b7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952f638-0634-4fbb-9f87-256e45311c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cb3bad-90df-40e3-9ac8-a127c82fcbd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30715e-a522-469d-9642-73d538c9fabe}" ma:internalName="TaxCatchAll" ma:showField="CatchAllData" ma:web="f8cb3bad-90df-40e3-9ac8-a127c82fcbd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1FFD9E-822E-452E-967E-9F7EC603B8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D50D25-BFE5-4BAC-8C11-C4C5B0EF468B}">
  <ds:schemaRefs>
    <ds:schemaRef ds:uri="http://purl.org/dc/dcmitype/"/>
    <ds:schemaRef ds:uri="http://www.w3.org/XML/1998/namespace"/>
    <ds:schemaRef ds:uri="http://purl.org/dc/terms/"/>
    <ds:schemaRef ds:uri="http://purl.org/dc/elements/1.1/"/>
    <ds:schemaRef ds:uri="fc7f3e65-d8a1-4635-83e2-0277e4c3b77d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f8cb3bad-90df-40e3-9ac8-a127c82fcbd4"/>
  </ds:schemaRefs>
</ds:datastoreItem>
</file>

<file path=customXml/itemProps3.xml><?xml version="1.0" encoding="utf-8"?>
<ds:datastoreItem xmlns:ds="http://schemas.openxmlformats.org/officeDocument/2006/customXml" ds:itemID="{4600CDDD-3962-4C54-8FB7-108D40BD8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7f3e65-d8a1-4635-83e2-0277e4c3b77d"/>
    <ds:schemaRef ds:uri="f8cb3bad-90df-40e3-9ac8-a127c82fcb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Maintenance PSURs</vt:lpstr>
      <vt:lpstr>BSI Dashboard</vt:lpstr>
      <vt:lpstr>Writer Workload</vt:lpstr>
      <vt:lpstr>Timeline</vt:lpstr>
      <vt:lpstr>BSI PSURs</vt:lpstr>
      <vt:lpstr>Dashboard</vt:lpstr>
    </vt:vector>
  </TitlesOfParts>
  <Manager/>
  <Company>CooperSurgical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Venkata Dommeti</dc:creator>
  <cp:keywords/>
  <dc:description/>
  <cp:lastModifiedBy>Terence Musoni</cp:lastModifiedBy>
  <cp:revision/>
  <dcterms:created xsi:type="dcterms:W3CDTF">2026-02-13T20:58:00Z</dcterms:created>
  <dcterms:modified xsi:type="dcterms:W3CDTF">2026-04-07T03:05:00Z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0x0101000B771640B107C340AE186BE528581A5E</vt:lpwstr>
  </property>
  <property fmtid="{D5CDD505-2E9C-101B-9397-08002B2CF9AE}" pid="3" name="MediaServiceImageTags">
    <vt:lpwstr/>
  </property>
</Properties>
</file>